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45" windowWidth="19875" windowHeight="7725" activeTab="2"/>
  </bookViews>
  <sheets>
    <sheet name="DCF_multi" sheetId="5" r:id="rId1"/>
    <sheet name="INPUT_SHEET" sheetId="4" r:id="rId2"/>
    <sheet name="Final Output" sheetId="2" r:id="rId3"/>
    <sheet name="Sheet3" sheetId="3" r:id="rId4"/>
  </sheets>
  <functionGroups builtInGroupCount="17"/>
  <externalReferences>
    <externalReference r:id="rId5"/>
    <externalReference r:id="rId6"/>
  </externalReferences>
  <definedNames>
    <definedName name="BETA_initial" localSheetId="0">'[1]FCFE-3 Stage'!$G$21</definedName>
    <definedName name="BETA_initial">'[2]FCFE-3 Stage'!$G$21</definedName>
    <definedName name="Beta_steady" localSheetId="0">'[1]FCFE-3 Stage'!$P$64</definedName>
    <definedName name="Beta_steady">'[2]FCFE-3 Stage'!$P$64</definedName>
    <definedName name="EPS" localSheetId="0">'[1]2stage DDM'!$C$8</definedName>
    <definedName name="EPS">'[2]2stage DDM'!$C$8</definedName>
    <definedName name="GROWTH_PRD" localSheetId="0">'[1]FCFE-3 Stage'!$P$7</definedName>
    <definedName name="GROWTH_PRD">'[2]FCFE-3 Stage'!$P$7</definedName>
    <definedName name="Growth_Stable" localSheetId="0">'[1]2stage DDM'!$C$18</definedName>
    <definedName name="Growth_Stable">'[2]2stage DDM'!$C$18</definedName>
    <definedName name="HI_Growth" localSheetId="0">'[1]2stage DDM'!$C$13</definedName>
    <definedName name="HI_Growth">'[2]2stage DDM'!$C$13</definedName>
    <definedName name="INFLATION" localSheetId="0">'[1]Price Implied CAP'!$C$18</definedName>
    <definedName name="INFLATION">'[2]Price Implied CAP'!$C$18</definedName>
    <definedName name="INITIAL" localSheetId="0">[1]PDE!$AB$2</definedName>
    <definedName name="INITIAL">[2]PDE!$AB$2</definedName>
    <definedName name="Intial_Pay" localSheetId="0">'[1]2stage DDM'!$C$14</definedName>
    <definedName name="Intial_Pay">'[2]2stage DDM'!$C$14</definedName>
    <definedName name="Ke_Initial" localSheetId="0">'[1]2stage DDM'!$C$15</definedName>
    <definedName name="Ke_Initial">'[2]2stage DDM'!$C$15</definedName>
    <definedName name="Ke_Stable" localSheetId="0">'[1]2stage DDM'!$C$20</definedName>
    <definedName name="Ke_Stable">'[2]2stage DDM'!$C$20</definedName>
    <definedName name="LT_Pay" localSheetId="0">'[1]2stage DDM'!$C$19</definedName>
    <definedName name="LT_Pay">'[2]2stage DDM'!$C$19</definedName>
    <definedName name="MEAN" localSheetId="0">[1]PDE!$M$36</definedName>
    <definedName name="MEAN">[2]PDE!$M$36</definedName>
    <definedName name="N_Growth" localSheetId="0">'[1]2stage DDM'!$C$12</definedName>
    <definedName name="N_Growth">'[2]2stage DDM'!$C$12</definedName>
    <definedName name="rev_hi_growth_rate" localSheetId="0">'[1]FCFE-3 Stage'!$G$63</definedName>
    <definedName name="rev_hi_growth_rate">'[2]FCFE-3 Stage'!$G$63</definedName>
    <definedName name="revenue_shr" localSheetId="0">'[1]FCFE-3 Stage'!$G$14</definedName>
    <definedName name="revenue_shr">'[2]FCFE-3 Stage'!$G$14</definedName>
    <definedName name="SALES_SHR" localSheetId="0">'[1]2stage DDM'!$C$9</definedName>
    <definedName name="SALES_SHR">'[2]2stage DDM'!$C$9</definedName>
    <definedName name="SIGMA" localSheetId="0">[1]PDE!$M$37</definedName>
    <definedName name="SIGMA">[2]PDE!$M$37</definedName>
    <definedName name="Ticker" localSheetId="0">'[1]Financials Import'!$B$2</definedName>
    <definedName name="Ticker">'[2]Financials Import'!$B$2</definedName>
    <definedName name="WC_rev_ratio" localSheetId="0">'[1]FCFE-3 Stage'!$G$35</definedName>
    <definedName name="WC_rev_ratio">'[2]FCFE-3 Stage'!$G$35</definedName>
    <definedName name="X" localSheetId="0">[1]PDE!$N$39</definedName>
    <definedName name="X">[2]PDE!$N$39</definedName>
  </definedNames>
  <calcPr calcId="145621" calcMode="autoNoTable" iterate="1" concurrentCalc="0"/>
</workbook>
</file>

<file path=xl/calcChain.xml><?xml version="1.0" encoding="utf-8"?>
<calcChain xmlns="http://schemas.openxmlformats.org/spreadsheetml/2006/main">
  <c r="B37" i="2" l="1"/>
  <c r="B38" i="2"/>
  <c r="F5" i="2" a="1"/>
  <c r="G16" i="2"/>
  <c r="H8" i="2"/>
  <c r="J41" i="2"/>
  <c r="G8" i="2"/>
  <c r="G15" i="2"/>
  <c r="C2" i="4"/>
  <c r="C3" i="4"/>
  <c r="C4" i="4"/>
  <c r="C5" i="4"/>
  <c r="C6" i="4"/>
  <c r="C7" i="4"/>
  <c r="C18" i="4"/>
  <c r="I5" i="4"/>
  <c r="C26" i="4"/>
  <c r="C29" i="2"/>
  <c r="B29" i="2"/>
  <c r="C19" i="4"/>
  <c r="C20" i="4"/>
  <c r="C11" i="2"/>
  <c r="B11" i="2"/>
  <c r="C18" i="2"/>
  <c r="B18" i="2"/>
  <c r="B13" i="2"/>
  <c r="G12" i="2"/>
  <c r="H41" i="2"/>
  <c r="G11" i="2"/>
  <c r="G41" i="2"/>
  <c r="B57" i="2"/>
  <c r="C57" i="2"/>
  <c r="D57" i="2"/>
  <c r="E57" i="2"/>
  <c r="B58" i="2"/>
  <c r="C58" i="2"/>
  <c r="D58" i="2"/>
  <c r="E58" i="2"/>
  <c r="B59" i="2"/>
  <c r="C59" i="2"/>
  <c r="D59" i="2"/>
  <c r="E59" i="2"/>
  <c r="B60" i="2"/>
  <c r="C60" i="2"/>
  <c r="D60" i="2"/>
  <c r="E60" i="2"/>
  <c r="B61" i="2"/>
  <c r="C61" i="2"/>
  <c r="D61" i="2"/>
  <c r="E61" i="2"/>
  <c r="B51" i="2"/>
  <c r="C51" i="2"/>
  <c r="D51" i="2"/>
  <c r="E51" i="2"/>
  <c r="B52" i="2"/>
  <c r="C52" i="2"/>
  <c r="D52" i="2"/>
  <c r="E52" i="2"/>
  <c r="B53" i="2"/>
  <c r="C53" i="2"/>
  <c r="D53" i="2"/>
  <c r="E53" i="2"/>
  <c r="B54" i="2"/>
  <c r="C54" i="2"/>
  <c r="D54" i="2"/>
  <c r="E54" i="2"/>
  <c r="B55" i="2"/>
  <c r="C55" i="2"/>
  <c r="D55" i="2"/>
  <c r="E55" i="2"/>
  <c r="B56" i="2"/>
  <c r="C56" i="2"/>
  <c r="D56" i="2"/>
  <c r="E56" i="2"/>
  <c r="F43" i="2"/>
  <c r="F44" i="2"/>
  <c r="F45" i="2"/>
  <c r="F46" i="2"/>
  <c r="F47" i="2"/>
  <c r="F48" i="2"/>
  <c r="F49" i="2"/>
  <c r="F50" i="2"/>
  <c r="F42" i="2"/>
  <c r="F41" i="2"/>
  <c r="C6" i="2"/>
  <c r="B6" i="2"/>
  <c r="I8" i="4"/>
  <c r="C27" i="2"/>
  <c r="C46" i="4"/>
  <c r="C22" i="2"/>
  <c r="B22" i="2"/>
  <c r="C23" i="4"/>
  <c r="C17" i="2"/>
  <c r="B17" i="2"/>
  <c r="C24" i="4"/>
  <c r="C16" i="2"/>
  <c r="B16" i="2"/>
  <c r="I4" i="4"/>
  <c r="C7" i="2"/>
  <c r="B7" i="2"/>
  <c r="C8" i="4"/>
  <c r="C9" i="4"/>
  <c r="C10" i="4"/>
  <c r="C11" i="4"/>
  <c r="C12" i="4"/>
  <c r="C13" i="4"/>
  <c r="C14" i="4"/>
  <c r="C16" i="4"/>
  <c r="C21" i="4"/>
  <c r="C12" i="2"/>
  <c r="B12" i="2"/>
  <c r="I7" i="4"/>
  <c r="C13" i="2"/>
  <c r="B27" i="2"/>
  <c r="B31" i="2"/>
  <c r="B21" i="2"/>
  <c r="B8" i="2"/>
  <c r="B9" i="2"/>
  <c r="B23" i="2"/>
  <c r="B24" i="2"/>
  <c r="B2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F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F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F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F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F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C50" i="4"/>
  <c r="C25" i="2"/>
  <c r="C24" i="2"/>
  <c r="C23" i="2"/>
  <c r="C9" i="2"/>
  <c r="C8" i="2"/>
  <c r="B35" i="2"/>
  <c r="B34" i="2"/>
  <c r="B30" i="2"/>
  <c r="B42" i="2"/>
  <c r="B43" i="2"/>
  <c r="B44" i="2"/>
  <c r="B45" i="2"/>
  <c r="B46" i="2"/>
  <c r="B47" i="2"/>
  <c r="B48" i="2"/>
  <c r="B49" i="2"/>
  <c r="B50" i="2"/>
  <c r="C28" i="2"/>
  <c r="B28" i="2"/>
  <c r="B19" i="2"/>
  <c r="O132" i="5"/>
  <c r="E83" i="5"/>
  <c r="D29" i="5"/>
  <c r="C105" i="5"/>
  <c r="C106" i="5"/>
  <c r="D105" i="5"/>
  <c r="D106" i="5"/>
  <c r="E105" i="5"/>
  <c r="E106" i="5"/>
  <c r="F105" i="5"/>
  <c r="F106" i="5"/>
  <c r="G105" i="5"/>
  <c r="G106" i="5"/>
  <c r="H105" i="5"/>
  <c r="H106" i="5"/>
  <c r="I105" i="5"/>
  <c r="I106" i="5"/>
  <c r="J105" i="5"/>
  <c r="J106" i="5"/>
  <c r="K105" i="5"/>
  <c r="K106" i="5"/>
  <c r="L105" i="5"/>
  <c r="L106" i="5"/>
  <c r="C118" i="5"/>
  <c r="D118" i="5"/>
  <c r="E118" i="5"/>
  <c r="F118" i="5"/>
  <c r="G118" i="5"/>
  <c r="H118" i="5"/>
  <c r="I118" i="5"/>
  <c r="J118" i="5"/>
  <c r="K118" i="5"/>
  <c r="L118" i="5"/>
  <c r="E81" i="5"/>
  <c r="M106" i="5"/>
  <c r="M114" i="5"/>
  <c r="E14" i="5"/>
  <c r="D14" i="5"/>
  <c r="C114" i="5"/>
  <c r="C107" i="5"/>
  <c r="C109" i="5"/>
  <c r="D42" i="5"/>
  <c r="D36" i="5"/>
  <c r="C110" i="5"/>
  <c r="C111" i="5"/>
  <c r="C30" i="4"/>
  <c r="E12" i="5"/>
  <c r="D12" i="5"/>
  <c r="C113" i="5"/>
  <c r="E13" i="5"/>
  <c r="D13" i="5"/>
  <c r="C112" i="5"/>
  <c r="C115" i="5"/>
  <c r="D60" i="5"/>
  <c r="C122" i="5"/>
  <c r="D62" i="5"/>
  <c r="D61" i="5"/>
  <c r="C123" i="5"/>
  <c r="F47" i="5"/>
  <c r="F48" i="5"/>
  <c r="D40" i="5"/>
  <c r="F49" i="5"/>
  <c r="D100" i="5"/>
  <c r="D102" i="5"/>
  <c r="C125" i="5"/>
  <c r="C124" i="5"/>
  <c r="C126" i="5"/>
  <c r="C127" i="5"/>
  <c r="C116" i="5"/>
  <c r="D71" i="5"/>
  <c r="D107" i="5"/>
  <c r="D109" i="5"/>
  <c r="C117" i="5"/>
  <c r="D110" i="5"/>
  <c r="D111" i="5"/>
  <c r="F71" i="5"/>
  <c r="D112" i="5"/>
  <c r="E71" i="5"/>
  <c r="D113" i="5"/>
  <c r="G70" i="5"/>
  <c r="G71" i="5"/>
  <c r="D114" i="5"/>
  <c r="D115" i="5"/>
  <c r="D122" i="5"/>
  <c r="D123" i="5"/>
  <c r="D125" i="5"/>
  <c r="D124" i="5"/>
  <c r="D126" i="5"/>
  <c r="D127" i="5"/>
  <c r="D116" i="5"/>
  <c r="D72" i="5"/>
  <c r="E107" i="5"/>
  <c r="E109" i="5"/>
  <c r="D117" i="5"/>
  <c r="E110" i="5"/>
  <c r="E111" i="5"/>
  <c r="F72" i="5"/>
  <c r="E112" i="5"/>
  <c r="E72" i="5"/>
  <c r="E113" i="5"/>
  <c r="G72" i="5"/>
  <c r="E114" i="5"/>
  <c r="E115" i="5"/>
  <c r="E122" i="5"/>
  <c r="E123" i="5"/>
  <c r="E125" i="5"/>
  <c r="E124" i="5"/>
  <c r="E126" i="5"/>
  <c r="E127" i="5"/>
  <c r="E116" i="5"/>
  <c r="D73" i="5"/>
  <c r="F107" i="5"/>
  <c r="F109" i="5"/>
  <c r="E117" i="5"/>
  <c r="F110" i="5"/>
  <c r="F111" i="5"/>
  <c r="F73" i="5"/>
  <c r="F112" i="5"/>
  <c r="E73" i="5"/>
  <c r="F113" i="5"/>
  <c r="G73" i="5"/>
  <c r="F114" i="5"/>
  <c r="F115" i="5"/>
  <c r="F122" i="5"/>
  <c r="F123" i="5"/>
  <c r="F125" i="5"/>
  <c r="F124" i="5"/>
  <c r="F126" i="5"/>
  <c r="F127" i="5"/>
  <c r="F116" i="5"/>
  <c r="D74" i="5"/>
  <c r="G107" i="5"/>
  <c r="G109" i="5"/>
  <c r="F117" i="5"/>
  <c r="G110" i="5"/>
  <c r="G111" i="5"/>
  <c r="F74" i="5"/>
  <c r="G112" i="5"/>
  <c r="E74" i="5"/>
  <c r="G113" i="5"/>
  <c r="G74" i="5"/>
  <c r="G114" i="5"/>
  <c r="G115" i="5"/>
  <c r="G122" i="5"/>
  <c r="G123" i="5"/>
  <c r="G125" i="5"/>
  <c r="G124" i="5"/>
  <c r="G126" i="5"/>
  <c r="G127" i="5"/>
  <c r="G116" i="5"/>
  <c r="D75" i="5"/>
  <c r="H107" i="5"/>
  <c r="H109" i="5"/>
  <c r="G117" i="5"/>
  <c r="H110" i="5"/>
  <c r="H111" i="5"/>
  <c r="F75" i="5"/>
  <c r="H112" i="5"/>
  <c r="E75" i="5"/>
  <c r="H113" i="5"/>
  <c r="G75" i="5"/>
  <c r="H114" i="5"/>
  <c r="H115" i="5"/>
  <c r="H122" i="5"/>
  <c r="H123" i="5"/>
  <c r="H125" i="5"/>
  <c r="H124" i="5"/>
  <c r="H126" i="5"/>
  <c r="H127" i="5"/>
  <c r="H116" i="5"/>
  <c r="D76" i="5"/>
  <c r="I107" i="5"/>
  <c r="I109" i="5"/>
  <c r="H117" i="5"/>
  <c r="I110" i="5"/>
  <c r="I111" i="5"/>
  <c r="F76" i="5"/>
  <c r="I112" i="5"/>
  <c r="E76" i="5"/>
  <c r="I113" i="5"/>
  <c r="G76" i="5"/>
  <c r="I114" i="5"/>
  <c r="I115" i="5"/>
  <c r="I122" i="5"/>
  <c r="I123" i="5"/>
  <c r="I125" i="5"/>
  <c r="I124" i="5"/>
  <c r="I126" i="5"/>
  <c r="I127" i="5"/>
  <c r="I116" i="5"/>
  <c r="J107" i="5"/>
  <c r="J109" i="5"/>
  <c r="I117" i="5"/>
  <c r="J110" i="5"/>
  <c r="J111" i="5"/>
  <c r="F77" i="5"/>
  <c r="J112" i="5"/>
  <c r="E77" i="5"/>
  <c r="J113" i="5"/>
  <c r="G77" i="5"/>
  <c r="J114" i="5"/>
  <c r="J115" i="5"/>
  <c r="J122" i="5"/>
  <c r="J123" i="5"/>
  <c r="J125" i="5"/>
  <c r="J124" i="5"/>
  <c r="J126" i="5"/>
  <c r="J127" i="5"/>
  <c r="J116" i="5"/>
  <c r="D77" i="5"/>
  <c r="K107" i="5"/>
  <c r="K109" i="5"/>
  <c r="J117" i="5"/>
  <c r="K110" i="5"/>
  <c r="K111" i="5"/>
  <c r="F78" i="5"/>
  <c r="K112" i="5"/>
  <c r="E78" i="5"/>
  <c r="K113" i="5"/>
  <c r="G78" i="5"/>
  <c r="K114" i="5"/>
  <c r="K115" i="5"/>
  <c r="K122" i="5"/>
  <c r="K123" i="5"/>
  <c r="K125" i="5"/>
  <c r="K124" i="5"/>
  <c r="K126" i="5"/>
  <c r="K127" i="5"/>
  <c r="K116" i="5"/>
  <c r="D78" i="5"/>
  <c r="L107" i="5"/>
  <c r="L109" i="5"/>
  <c r="K117" i="5"/>
  <c r="L110" i="5"/>
  <c r="L111" i="5"/>
  <c r="F79" i="5"/>
  <c r="L112" i="5"/>
  <c r="E79" i="5"/>
  <c r="L113" i="5"/>
  <c r="G79" i="5"/>
  <c r="L114" i="5"/>
  <c r="L115" i="5"/>
  <c r="L122" i="5"/>
  <c r="L123" i="5"/>
  <c r="L125" i="5"/>
  <c r="L124" i="5"/>
  <c r="L126" i="5"/>
  <c r="L127" i="5"/>
  <c r="L116" i="5"/>
  <c r="F138" i="5"/>
  <c r="E64" i="5"/>
  <c r="D41" i="5"/>
  <c r="I6" i="4"/>
  <c r="D39" i="5"/>
  <c r="D38" i="5"/>
  <c r="D35" i="5"/>
  <c r="D34" i="5"/>
  <c r="I3" i="4"/>
  <c r="D33" i="5"/>
  <c r="I2" i="4"/>
  <c r="D32" i="5"/>
  <c r="D31" i="5"/>
  <c r="D30" i="5"/>
  <c r="C48" i="4"/>
  <c r="C49" i="4"/>
  <c r="C51" i="4"/>
  <c r="C42" i="4"/>
  <c r="E15" i="5"/>
  <c r="E11" i="5"/>
  <c r="E10" i="5"/>
  <c r="E42" i="2"/>
  <c r="E43" i="2"/>
  <c r="E44" i="2"/>
  <c r="E45" i="2"/>
  <c r="E46" i="2"/>
  <c r="E47" i="2"/>
  <c r="E48" i="2"/>
  <c r="E49" i="2"/>
  <c r="E50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E8" i="5"/>
  <c r="D8" i="5"/>
  <c r="E9" i="5"/>
  <c r="D9" i="5"/>
  <c r="D10" i="5"/>
  <c r="D11" i="5"/>
  <c r="D15" i="5"/>
  <c r="E16" i="5"/>
  <c r="D16" i="5"/>
  <c r="E17" i="5"/>
  <c r="D17" i="5"/>
  <c r="B70" i="5"/>
  <c r="E70" i="5"/>
  <c r="F70" i="5"/>
  <c r="B71" i="5"/>
  <c r="B72" i="5"/>
  <c r="B73" i="5"/>
  <c r="B74" i="5"/>
  <c r="B75" i="5"/>
  <c r="B76" i="5"/>
  <c r="B77" i="5"/>
  <c r="B78" i="5"/>
  <c r="B79" i="5"/>
  <c r="D79" i="5"/>
  <c r="C80" i="5"/>
  <c r="E82" i="5"/>
  <c r="D99" i="5"/>
  <c r="D101" i="5"/>
  <c r="D103" i="5"/>
  <c r="M107" i="5"/>
  <c r="M109" i="5"/>
  <c r="L117" i="5"/>
  <c r="M110" i="5"/>
  <c r="M111" i="5"/>
  <c r="M112" i="5"/>
  <c r="O112" i="5"/>
  <c r="P112" i="5"/>
  <c r="Q112" i="5"/>
  <c r="R112" i="5"/>
  <c r="S112" i="5"/>
  <c r="T112" i="5"/>
  <c r="U112" i="5"/>
  <c r="V112" i="5"/>
  <c r="M113" i="5"/>
  <c r="O113" i="5"/>
  <c r="O114" i="5"/>
  <c r="M115" i="5"/>
  <c r="O115" i="5"/>
  <c r="O116" i="5"/>
  <c r="O117" i="5"/>
  <c r="O118" i="5"/>
  <c r="O119" i="5"/>
  <c r="C121" i="5"/>
  <c r="D121" i="5"/>
  <c r="E121" i="5"/>
  <c r="F121" i="5"/>
  <c r="G121" i="5"/>
  <c r="H121" i="5"/>
  <c r="I121" i="5"/>
  <c r="J121" i="5"/>
  <c r="K121" i="5"/>
  <c r="L121" i="5"/>
  <c r="M121" i="5"/>
  <c r="M122" i="5"/>
  <c r="M123" i="5"/>
  <c r="M124" i="5"/>
  <c r="M125" i="5"/>
  <c r="M126" i="5"/>
  <c r="E129" i="5"/>
  <c r="E130" i="5"/>
  <c r="E131" i="5"/>
  <c r="E132" i="5"/>
  <c r="E133" i="5"/>
  <c r="E134" i="5"/>
  <c r="E135" i="5"/>
  <c r="E136" i="5"/>
  <c r="F139" i="5"/>
  <c r="F140" i="5"/>
  <c r="F141" i="5"/>
  <c r="F142" i="5"/>
  <c r="F144" i="5"/>
  <c r="F145" i="5"/>
  <c r="C27" i="4"/>
  <c r="C28" i="4"/>
  <c r="C29" i="4"/>
  <c r="C33" i="4"/>
  <c r="C34" i="4"/>
  <c r="C35" i="4"/>
  <c r="C37" i="4"/>
  <c r="C39" i="4"/>
  <c r="C40" i="4"/>
  <c r="C72" i="4"/>
</calcChain>
</file>

<file path=xl/comments1.xml><?xml version="1.0" encoding="utf-8"?>
<comments xmlns="http://schemas.openxmlformats.org/spreadsheetml/2006/main">
  <authors>
    <author>Tom</author>
    <author>Aswath Damodaran</author>
  </authors>
  <commentList>
    <comment ref="D7" authorId="0">
      <text>
        <r>
          <rPr>
            <b/>
            <sz val="8"/>
            <color indexed="81"/>
            <rFont val="Tahoma"/>
            <family val="2"/>
          </rPr>
          <t>Tom:</t>
        </r>
        <r>
          <rPr>
            <sz val="8"/>
            <color indexed="81"/>
            <rFont val="Tahoma"/>
            <family val="2"/>
          </rPr>
          <t xml:space="preserve">
"MODEL" - Values used in Calculation- If INPUT cell is blank, then takes value from LINK cell</t>
        </r>
      </text>
    </comment>
    <comment ref="E7" authorId="0">
      <text>
        <r>
          <rPr>
            <b/>
            <sz val="8"/>
            <color indexed="81"/>
            <rFont val="Tahoma"/>
            <family val="2"/>
          </rPr>
          <t>Tom:</t>
        </r>
        <r>
          <rPr>
            <sz val="8"/>
            <color indexed="81"/>
            <rFont val="Tahoma"/>
            <family val="2"/>
          </rPr>
          <t xml:space="preserve">
"LINK" Column- Pulls global assumptions entered on dashboard tab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Tom:</t>
        </r>
        <r>
          <rPr>
            <sz val="8"/>
            <color indexed="81"/>
            <rFont val="Tahoma"/>
            <family val="2"/>
          </rPr>
          <t xml:space="preserve">
"INPUT" - Manually Enter Override Values if desired</t>
        </r>
      </text>
    </comment>
    <comment ref="D68" authorId="1">
      <text>
        <r>
          <rPr>
            <b/>
            <sz val="9"/>
            <color indexed="81"/>
            <rFont val="Geneva"/>
          </rPr>
          <t>Aswath Damodaran:</t>
        </r>
        <r>
          <rPr>
            <sz val="9"/>
            <color indexed="81"/>
            <rFont val="Geneva"/>
          </rPr>
          <t xml:space="preserve">
These are operating expenses, prior to depreciation. This number should be (1-EBITDA/Sales)</t>
        </r>
      </text>
    </comment>
  </commentList>
</comments>
</file>

<file path=xl/comments2.xml><?xml version="1.0" encoding="utf-8"?>
<comments xmlns="http://schemas.openxmlformats.org/spreadsheetml/2006/main">
  <authors>
    <author>NICO</author>
  </authors>
  <commentList>
    <comment ref="B5" authorId="0">
      <text>
        <r>
          <rPr>
            <b/>
            <sz val="8"/>
            <color indexed="81"/>
            <rFont val="Tahoma"/>
            <family val="2"/>
          </rPr>
          <t>NICO:</t>
        </r>
        <r>
          <rPr>
            <sz val="8"/>
            <color indexed="81"/>
            <rFont val="Tahoma"/>
            <family val="2"/>
          </rPr>
          <t xml:space="preserve">
"MODEL" - Values used in Calculation- If INPUT cell is blank, then takes value from LINK cell</t>
        </r>
      </text>
    </comment>
    <comment ref="C5" authorId="0">
      <text>
        <r>
          <rPr>
            <b/>
            <sz val="8"/>
            <color indexed="81"/>
            <rFont val="Tahoma"/>
            <family val="2"/>
          </rPr>
          <t>NICO:</t>
        </r>
        <r>
          <rPr>
            <sz val="8"/>
            <color indexed="81"/>
            <rFont val="Tahoma"/>
            <family val="2"/>
          </rPr>
          <t xml:space="preserve">
"LINK" Column- Pulls global assumptions entered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NICO:</t>
        </r>
        <r>
          <rPr>
            <sz val="8"/>
            <color indexed="81"/>
            <rFont val="Tahoma"/>
            <family val="2"/>
          </rPr>
          <t xml:space="preserve">
"INPUT" - Manually Enter Override Values if desired</t>
        </r>
      </text>
    </comment>
    <comment ref="A16" authorId="0">
      <text>
        <r>
          <rPr>
            <b/>
            <sz val="8"/>
            <color indexed="81"/>
            <rFont val="Tahoma"/>
            <family val="2"/>
          </rPr>
          <t>NICO:</t>
        </r>
        <r>
          <rPr>
            <sz val="8"/>
            <color indexed="81"/>
            <rFont val="Tahoma"/>
            <family val="2"/>
          </rPr>
          <t xml:space="preserve">
Last Traded Price</t>
        </r>
      </text>
    </comment>
    <comment ref="A19" authorId="0">
      <text>
        <r>
          <rPr>
            <b/>
            <sz val="8"/>
            <color indexed="81"/>
            <rFont val="Tahoma"/>
            <family val="2"/>
          </rPr>
          <t>NICO:</t>
        </r>
        <r>
          <rPr>
            <sz val="8"/>
            <color indexed="81"/>
            <rFont val="Tahoma"/>
            <family val="2"/>
          </rPr>
          <t xml:space="preserve">
If not publicly traded and debt to capital ratio = 0 then the algorithm will use the book value debt ratio</t>
        </r>
      </text>
    </comment>
    <comment ref="D21" authorId="0">
      <text>
        <r>
          <rPr>
            <b/>
            <sz val="8"/>
            <color indexed="81"/>
            <rFont val="Tahoma"/>
            <family val="2"/>
          </rPr>
          <t>NICO:</t>
        </r>
        <r>
          <rPr>
            <sz val="8"/>
            <color indexed="81"/>
            <rFont val="Tahoma"/>
            <family val="2"/>
          </rPr>
          <t xml:space="preserve">
15.35%</t>
        </r>
      </text>
    </comment>
    <comment ref="A31" authorId="0">
      <text>
        <r>
          <rPr>
            <b/>
            <sz val="8"/>
            <color indexed="81"/>
            <rFont val="Tahoma"/>
            <family val="2"/>
          </rPr>
          <t>NICO:</t>
        </r>
        <r>
          <rPr>
            <sz val="8"/>
            <color indexed="81"/>
            <rFont val="Tahoma"/>
            <family val="2"/>
          </rPr>
          <t xml:space="preserve">
Do you want to change the debt ratio in the stable growth period?</t>
        </r>
      </text>
    </comment>
    <comment ref="D31" authorId="0">
      <text>
        <r>
          <rPr>
            <b/>
            <sz val="8"/>
            <color indexed="81"/>
            <rFont val="Tahoma"/>
            <family val="2"/>
          </rPr>
          <t>NICO:</t>
        </r>
        <r>
          <rPr>
            <sz val="8"/>
            <color indexed="81"/>
            <rFont val="Tahoma"/>
            <family val="2"/>
          </rPr>
          <t xml:space="preserve">
15%</t>
        </r>
      </text>
    </comment>
    <comment ref="A35" authorId="0">
      <text>
        <r>
          <rPr>
            <b/>
            <sz val="8"/>
            <color indexed="81"/>
            <rFont val="Tahoma"/>
            <family val="2"/>
          </rPr>
          <t>NICO:</t>
        </r>
        <r>
          <rPr>
            <sz val="8"/>
            <color indexed="81"/>
            <rFont val="Tahoma"/>
            <family val="2"/>
          </rPr>
          <t xml:space="preserve">
(in percent: &gt; 100%)
If = 0 then capital spending will be offset by depreciation in stable period</t>
        </r>
      </text>
    </comment>
    <comment ref="D35" authorId="0">
      <text>
        <r>
          <rPr>
            <b/>
            <sz val="8"/>
            <color indexed="81"/>
            <rFont val="Tahoma"/>
            <family val="2"/>
          </rPr>
          <t>NICO:</t>
        </r>
        <r>
          <rPr>
            <sz val="8"/>
            <color indexed="81"/>
            <rFont val="Tahoma"/>
            <family val="2"/>
          </rPr>
          <t xml:space="preserve">
110%</t>
        </r>
      </text>
    </comment>
    <comment ref="B40" authorId="0">
      <text>
        <r>
          <rPr>
            <b/>
            <sz val="8"/>
            <color indexed="81"/>
            <rFont val="Tahoma"/>
            <family val="2"/>
          </rPr>
          <t>NICO:</t>
        </r>
        <r>
          <rPr>
            <sz val="8"/>
            <color indexed="81"/>
            <rFont val="Tahoma"/>
            <family val="2"/>
          </rPr>
          <t xml:space="preserve">
These are operating expenses, prior to depreciation. This number should be (1-EBITDA/Sales)</t>
        </r>
      </text>
    </comment>
  </commentList>
</comments>
</file>

<file path=xl/sharedStrings.xml><?xml version="1.0" encoding="utf-8"?>
<sst xmlns="http://schemas.openxmlformats.org/spreadsheetml/2006/main" count="242" uniqueCount="206">
  <si>
    <t>Sales growth</t>
  </si>
  <si>
    <t>Normal net income</t>
  </si>
  <si>
    <t>Projected revenue</t>
  </si>
  <si>
    <t xml:space="preserve">Invested captial </t>
  </si>
  <si>
    <t>ROIC</t>
  </si>
  <si>
    <t>NOPAT</t>
  </si>
  <si>
    <t>EBIT</t>
  </si>
  <si>
    <t>NWC Increment</t>
  </si>
  <si>
    <t>Capex</t>
  </si>
  <si>
    <t xml:space="preserve">Depreciation </t>
  </si>
  <si>
    <t>Long-term discount rate</t>
  </si>
  <si>
    <t xml:space="preserve">Inflation Rate </t>
  </si>
  <si>
    <t>Assumptions</t>
  </si>
  <si>
    <t>Sales growth 5 year</t>
  </si>
  <si>
    <t>Sales growth 3 year</t>
  </si>
  <si>
    <t>Sales growth 2 year</t>
  </si>
  <si>
    <t>Sales growth LFY</t>
  </si>
  <si>
    <t>Sales growth TTM</t>
  </si>
  <si>
    <t>Weight 5 year</t>
  </si>
  <si>
    <t xml:space="preserve">Weight 3 year </t>
  </si>
  <si>
    <t>Weight 2 year</t>
  </si>
  <si>
    <t>Weight LFY</t>
  </si>
  <si>
    <t>Weight TTM</t>
  </si>
  <si>
    <t>EBIT Margin</t>
  </si>
  <si>
    <t>Cost of Equity</t>
  </si>
  <si>
    <t>Cost of Debt</t>
  </si>
  <si>
    <t>Weight of Equity</t>
  </si>
  <si>
    <t>Weight of Debt</t>
  </si>
  <si>
    <t>Equity Risk Premium</t>
  </si>
  <si>
    <t>Equity Beta</t>
  </si>
  <si>
    <t>Tax Rate</t>
  </si>
  <si>
    <t>Credit Spread</t>
  </si>
  <si>
    <t>Risk Free Rate</t>
  </si>
  <si>
    <t>WACC</t>
  </si>
  <si>
    <t>Maintenance Capex</t>
  </si>
  <si>
    <t>Current Normalized EBIDA</t>
  </si>
  <si>
    <t>Research and Development</t>
  </si>
  <si>
    <t>Total Revenues</t>
  </si>
  <si>
    <t>Stock price</t>
  </si>
  <si>
    <t>Shares</t>
  </si>
  <si>
    <t>Total Equity</t>
  </si>
  <si>
    <t>Total Liabilities</t>
  </si>
  <si>
    <t>Interest Bearing Liabilties</t>
  </si>
  <si>
    <t>Non-Interest Liabilties</t>
  </si>
  <si>
    <t>Total Assets</t>
  </si>
  <si>
    <t>Other Assets</t>
  </si>
  <si>
    <t>Long Term Assets</t>
  </si>
  <si>
    <t>Note Receivable</t>
  </si>
  <si>
    <t>Long Term Investments</t>
  </si>
  <si>
    <t>Intangibles, Net</t>
  </si>
  <si>
    <t>Goodwill, Net</t>
  </si>
  <si>
    <t>Fixed Assets</t>
  </si>
  <si>
    <t>Other Current Assets</t>
  </si>
  <si>
    <t>Prepaid Expenses</t>
  </si>
  <si>
    <t>Inventory</t>
  </si>
  <si>
    <t>Receivables</t>
  </si>
  <si>
    <t>Short Term Investments</t>
  </si>
  <si>
    <t>Cash &amp; Equivalents</t>
  </si>
  <si>
    <t>Value of Equity per Share =</t>
  </si>
  <si>
    <t>Value of Equity in Common Stock =</t>
  </si>
  <si>
    <t>Value of Options Outstanding (See option worksheet) =</t>
  </si>
  <si>
    <t>Market Value of Equity =</t>
  </si>
  <si>
    <t>Market Value of Debt =</t>
  </si>
  <si>
    <t>Value of the firm =</t>
  </si>
  <si>
    <t>Present Value of Terminal Value of Firm =</t>
  </si>
  <si>
    <t>Present Value of FCFF in high growth phase =</t>
  </si>
  <si>
    <t>Value at the end of growth phase =</t>
  </si>
  <si>
    <t>Cost of Capital in Stable Phase =</t>
  </si>
  <si>
    <t>Debt/ (Equity + Debt)  =</t>
  </si>
  <si>
    <t>AT Cost of Debt in Stable Phase =</t>
  </si>
  <si>
    <t>Equity/ (Equity + Debt) =</t>
  </si>
  <si>
    <t>Cost of Equity in Stable Phase =</t>
  </si>
  <si>
    <t>FCFF in Stable Phase =</t>
  </si>
  <si>
    <t>Growth Rate in Stable Phase =</t>
  </si>
  <si>
    <t>Cum. WACC</t>
  </si>
  <si>
    <t>Cost of Capital</t>
  </si>
  <si>
    <t>Debt Ratio</t>
  </si>
  <si>
    <t>Beta</t>
  </si>
  <si>
    <t>Cost of Capital Computation</t>
  </si>
  <si>
    <t>Index</t>
  </si>
  <si>
    <t>NOL</t>
  </si>
  <si>
    <t>Present Value</t>
  </si>
  <si>
    <t>Free CF to Firm</t>
  </si>
  <si>
    <t xml:space="preserve"> -  Chg. Working Capital</t>
  </si>
  <si>
    <t xml:space="preserve"> - Capital Spending</t>
  </si>
  <si>
    <t xml:space="preserve"> + Depreciation</t>
  </si>
  <si>
    <t>EBIT (1-t)</t>
  </si>
  <si>
    <t xml:space="preserve"> - EBIT*t</t>
  </si>
  <si>
    <t xml:space="preserve"> - COGS</t>
  </si>
  <si>
    <t>Revenues</t>
  </si>
  <si>
    <t>Terminal Year</t>
  </si>
  <si>
    <t>Cost of Capital =</t>
  </si>
  <si>
    <t>Debt/(Debt +Equity) =</t>
  </si>
  <si>
    <t>After-tax Cost of debt =</t>
  </si>
  <si>
    <t>Equity/(Debt+Equity ) =</t>
  </si>
  <si>
    <t>Cost of Equity =</t>
  </si>
  <si>
    <t>Output from the program</t>
  </si>
  <si>
    <t xml:space="preserve"> (in percent: &gt; 100%)</t>
  </si>
  <si>
    <t>If no, enter capital expenditures as % of depreciation in steady state:</t>
  </si>
  <si>
    <t>(Yes or No)</t>
  </si>
  <si>
    <t>No</t>
  </si>
  <si>
    <t>Is capital spending to be offset by depreciation in stable period?</t>
  </si>
  <si>
    <t>Capital Spending and Depreciation in Stable growth period</t>
  </si>
  <si>
    <t>( in percent)</t>
  </si>
  <si>
    <t>If yes, enter the new cost of debt  =</t>
  </si>
  <si>
    <t>NO</t>
  </si>
  <si>
    <t>Will the cost of debt change in the stable period?</t>
  </si>
  <si>
    <t>(in percent)</t>
  </si>
  <si>
    <t>If yes, enter the debt ratio for the stable growth period =</t>
  </si>
  <si>
    <t>Do you want to change the debt ratio in the stable growth period?</t>
  </si>
  <si>
    <t>If yes, enter the beta for stable period =</t>
  </si>
  <si>
    <t>Yes</t>
  </si>
  <si>
    <t>Will the beta change in the stable period?</t>
  </si>
  <si>
    <t>Enter Working Capital as % of Revenue in stable phase</t>
  </si>
  <si>
    <t>Enter operating expenses as % of Revenue in stable phase</t>
  </si>
  <si>
    <t>Enter growth rate in stable growth period</t>
  </si>
  <si>
    <t>Compounded Avg</t>
  </si>
  <si>
    <t>as % of Revenue</t>
  </si>
  <si>
    <t>Depreciation</t>
  </si>
  <si>
    <t>Capital Spending</t>
  </si>
  <si>
    <t>Revenue</t>
  </si>
  <si>
    <t>Working Capital</t>
  </si>
  <si>
    <t>Growth Rate in</t>
  </si>
  <si>
    <t xml:space="preserve">Operating Expense </t>
  </si>
  <si>
    <t>Growth Rate</t>
  </si>
  <si>
    <t>Year</t>
  </si>
  <si>
    <t>Please enter year-specific inputs for each of the following variables:</t>
  </si>
  <si>
    <t>Earnings Inputs</t>
  </si>
  <si>
    <t>Enter the cost of debt for cost of capital calculation</t>
  </si>
  <si>
    <t>Risk Premium=</t>
  </si>
  <si>
    <t>Riskfree rate=</t>
  </si>
  <si>
    <t>Beta of the stock =</t>
  </si>
  <si>
    <t>If yes, enter the cost of equity =</t>
  </si>
  <si>
    <t>Do you want to enter cost of equity directly?</t>
  </si>
  <si>
    <t>Costs of Components</t>
  </si>
  <si>
    <t>(in years)</t>
  </si>
  <si>
    <t>If no, enter the debt to capital ratio to be used =</t>
  </si>
  <si>
    <t>If not publicly traded, do you want to use the book value debt ratio ?</t>
  </si>
  <si>
    <t>( in currency)</t>
  </si>
  <si>
    <t xml:space="preserve">      &amp; Market Value of Debt =</t>
  </si>
  <si>
    <t>(in #)</t>
  </si>
  <si>
    <t xml:space="preserve">      &amp; Number of shares outstanding  =</t>
  </si>
  <si>
    <t>(in currency)</t>
  </si>
  <si>
    <t>If yes, enter the market price per share =</t>
  </si>
  <si>
    <t>( Yes or No)</t>
  </si>
  <si>
    <t>Is the firm publicly traded ?</t>
  </si>
  <si>
    <t>Weights on Debt and Equity</t>
  </si>
  <si>
    <t>NOL carried forward =</t>
  </si>
  <si>
    <t>Book Value of Equity =</t>
  </si>
  <si>
    <t>Book Value of Debt =</t>
  </si>
  <si>
    <t>Chg. Working Capital =</t>
  </si>
  <si>
    <t>Current Working Capital =</t>
  </si>
  <si>
    <t>Tax Rate on Income =</t>
  </si>
  <si>
    <t>Current Depreciation =</t>
  </si>
  <si>
    <t>Current Capital Spending</t>
  </si>
  <si>
    <t>Current Interest Expense =</t>
  </si>
  <si>
    <t>Current Dividends =</t>
  </si>
  <si>
    <t>Current Net Income =</t>
  </si>
  <si>
    <t>Current EBIT =</t>
  </si>
  <si>
    <t>Current Revenues =</t>
  </si>
  <si>
    <t>Excess Return (yrs)</t>
  </si>
  <si>
    <t>Terminal WACC</t>
  </si>
  <si>
    <t>Inflation</t>
  </si>
  <si>
    <t>∆ NWC Increment</t>
  </si>
  <si>
    <t>Deprec / Capex</t>
  </si>
  <si>
    <t>Capex / Sales</t>
  </si>
  <si>
    <t>CAP (Yrs)</t>
  </si>
  <si>
    <t>INPUT</t>
  </si>
  <si>
    <t>LINK</t>
  </si>
  <si>
    <t>MODEL</t>
  </si>
  <si>
    <t>XI. DISCOUNTED FREE CASH FLOW ANALYSIS</t>
  </si>
  <si>
    <t>CONTROL</t>
  </si>
  <si>
    <t>Current Revenues:</t>
  </si>
  <si>
    <t>Current Capital Spending:</t>
  </si>
  <si>
    <t>Current Depreciation:</t>
  </si>
  <si>
    <t>Tax Rate on Income:</t>
  </si>
  <si>
    <t>Book Value of Debt:</t>
  </si>
  <si>
    <t>Book Value of Equity:</t>
  </si>
  <si>
    <t>NOL carried forward:</t>
  </si>
  <si>
    <t>If yes, enter the market price per share:</t>
  </si>
  <si>
    <t>&amp; Number of shares outstanding:</t>
  </si>
  <si>
    <t>&amp; Market Value of Debt:</t>
  </si>
  <si>
    <t>If no, enter the debt to capital ratio to be used:</t>
  </si>
  <si>
    <t>Do you want to enter cost of equity directly</t>
  </si>
  <si>
    <t>Beta of the stock:</t>
  </si>
  <si>
    <t>Riskfree rate:</t>
  </si>
  <si>
    <t>Risk Premium:</t>
  </si>
  <si>
    <t>Cost of debt for cost of capital calculation</t>
  </si>
  <si>
    <t>Growth rate in stable growth period</t>
  </si>
  <si>
    <t>Operating expenses as % of Revenue in stable phase</t>
  </si>
  <si>
    <t>Working Capital as % of Revenue in stable phase</t>
  </si>
  <si>
    <t>To change the beta in the stable period, enter the beta for stable period</t>
  </si>
  <si>
    <t>To change the debt ratio in the stable growth period enter the debt ratio for the stable growth period</t>
  </si>
  <si>
    <t>If yes, enter the new cost of debt:</t>
  </si>
  <si>
    <t>Capital expenditures as % of depreciation in steady state:</t>
  </si>
  <si>
    <t>Growth Rate Revenue</t>
  </si>
  <si>
    <t>Operating Expense as % of Revenue</t>
  </si>
  <si>
    <t>Growth Rate in Capital Spending</t>
  </si>
  <si>
    <t>Growth Rate in Depreciation</t>
  </si>
  <si>
    <t>Working Capital as % of Revenue</t>
  </si>
  <si>
    <t>Current dividends</t>
  </si>
  <si>
    <t>Current interest expense</t>
  </si>
  <si>
    <t>Current working capital</t>
  </si>
  <si>
    <t>Change of working capital</t>
  </si>
  <si>
    <t>NOL Carryforward</t>
  </si>
  <si>
    <t>Revenue Projection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</si>
</sst>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7">
    <numFmt numFmtId="43" formatCode="_-* #,##0.00_-;\-* #,##0.00_-;_-* &quot;-&quot;??_-;_-@_-"/>
    <numFmt numFmtId="164" formatCode="#,##0.00;[Red]#,##0.00"/>
    <numFmt numFmtId="165" formatCode="#,###.00;[Red]\-#,###.00;&quot; - &quot;\ "/>
    <numFmt numFmtId="166" formatCode="#,##0.0000;\-#,##0.0000"/>
    <numFmt numFmtId="167" formatCode="&quot;$&quot;#,##0_);[Red]\(&quot;$&quot;#,##0\)"/>
    <numFmt numFmtId="168" formatCode="&quot;$&quot;#,##0.00_);[Red]\(&quot;$&quot;#,##0.00\)"/>
    <numFmt numFmtId="169" formatCode="0.0%"/>
    <numFmt numFmtId="170" formatCode="0.0000"/>
    <numFmt numFmtId="171" formatCode="#,##0.0;\-#,##0.0"/>
    <numFmt numFmtId="172" formatCode="&quot;$&quot;#,##0.00"/>
    <numFmt numFmtId="173" formatCode="#,##0.00_ ;[Red]\-#,##0.00\ "/>
    <numFmt numFmtId="174" formatCode="0.000"/>
    <numFmt numFmtId="175" formatCode="&quot;$&quot;#,##0_);\(&quot;$&quot;#,##0\)"/>
    <numFmt numFmtId="176" formatCode="&quot;$&quot;#,##0.00_);\(&quot;$&quot;#,##0.00\)"/>
    <numFmt numFmtId="177" formatCode="_(&quot;$&quot;* #,##0_);_(&quot;$&quot;* \(#,##0\);_(&quot;$&quot;* &quot;-&quot;_);_(@_)"/>
    <numFmt numFmtId="178" formatCode="_(* #,##0_);_(* \(#,##0\);_(* &quot;-&quot;_);_(@_)"/>
    <numFmt numFmtId="179" formatCode="_(&quot;$&quot;* #,##0.00_);_(&quot;$&quot;* \(#,##0.00\);_(&quot;$&quot;* &quot;-&quot;??_);_(@_)"/>
    <numFmt numFmtId="180" formatCode="_(* #,##0.00_);_(* \(#,##0.00\);_(* &quot;-&quot;??_);_(@_)"/>
    <numFmt numFmtId="181" formatCode="#,##0.0_);\(#,##0.0\);@_)"/>
    <numFmt numFmtId="182" formatCode="#,##0.0_);\(#,##0.0\);&quot;-&quot;?_);@_)"/>
    <numFmt numFmtId="183" formatCode="&quot;$&quot;#,##0.0_);\(&quot;$&quot;#,##0.0\);@_)"/>
    <numFmt numFmtId="184" formatCode="&quot;$&quot;#,##0.0_);\(&quot;$&quot;#,##0.0\);&quot;-&quot;?_);@_)"/>
    <numFmt numFmtId="185" formatCode="0.0%;\-0.0%;&quot;-&quot;?_);@_)"/>
    <numFmt numFmtId="186" formatCode="_(* #,##0.00_);_(* \(#,##0.00\);_(* &quot;--&quot;??_);_(@_)"/>
    <numFmt numFmtId="187" formatCode="#,##0.0_)_%;\(#,##0.0\)_%;0.0_)_%;@_)_%"/>
    <numFmt numFmtId="188" formatCode="_ * #,##0_ ;\ \(#,##0\)_ ;_ * &quot;-&quot;_ ;_ @_ "/>
    <numFmt numFmtId="189" formatCode="##\ &quot;Years&quot;"/>
    <numFmt numFmtId="190" formatCode="#,##0.0_);\(#,##0.0\)"/>
    <numFmt numFmtId="191" formatCode="#,##0.0"/>
    <numFmt numFmtId="192" formatCode="_(* #,##0.0_);_(* \(#,##0.0\);_(* &quot;--- &quot;_)"/>
    <numFmt numFmtId="193" formatCode="_(&quot;$&quot;* #,##0.0_);_(&quot;$&quot;* \(#,##0.0\);_(&quot;$&quot;* &quot;--- &quot;_)"/>
    <numFmt numFmtId="194" formatCode="#,##0.0\x\ _);\(#,##0.0\x\)\ ;0.0\x_)\ ;@_%_)"/>
    <numFmt numFmtId="195" formatCode="_(* #,##0.0_);_(* \(#,##0.0\);_(* &quot;-&quot;?_);_(@_)"/>
    <numFmt numFmtId="196" formatCode=";;;"/>
    <numFmt numFmtId="197" formatCode="0.0\%_);\(0.0\%\);0.0\%_);@_%_)"/>
    <numFmt numFmtId="198" formatCode="&quot;£&quot;#,##0;\-&quot;£&quot;#,##0"/>
    <numFmt numFmtId="199" formatCode="&quot;n&quot;"/>
    <numFmt numFmtId="200" formatCode="General_)"/>
    <numFmt numFmtId="201" formatCode="0_)"/>
    <numFmt numFmtId="202" formatCode="_(* #,##0.0_);_(* \(#,##0.0\);_(* &quot;-&quot;??_);_(@_)"/>
    <numFmt numFmtId="203" formatCode="#,##0.00_%_);\(#,##0.00\)_%;**;@_%_)"/>
    <numFmt numFmtId="204" formatCode="#,##0_%_);\(#,##0\)_%;#,##0_%_);@_%_)"/>
    <numFmt numFmtId="205" formatCode="#,##0.0_%_);\(#,##0.0\)_%;**;@_%_)"/>
    <numFmt numFmtId="206" formatCode="#,##0.0%_);\(#,##0.0%\);0.0%_);@_%_)"/>
    <numFmt numFmtId="207" formatCode="&quot;$&quot;#,##0.00_%_);\(&quot;$&quot;#,##0.00\)_%;**;@_%_)"/>
    <numFmt numFmtId="208" formatCode="&quot;$&quot;#,##0.00_%_);\(&quot;$&quot;#,##0.00\)_%;&quot;$&quot;#,##0.00_%_);@_%_)"/>
    <numFmt numFmtId="209" formatCode="&quot;$&quot;#,##0.0_%_);\(&quot;$&quot;#,##0.0\)_%;**;@_%_)"/>
    <numFmt numFmtId="210" formatCode="#,##0.0_%_);\(#,##0.0\)_%;#,##0.0_%_);@_%_)\F\F\r"/>
    <numFmt numFmtId="211" formatCode="&quot;$&quot;#,##0.0_);\(&quot;$&quot;#,##0.0\)"/>
    <numFmt numFmtId="212" formatCode="_(* #,##0.00000_);_(* \(#,##0.00000\);_(* &quot;-&quot;??_);_(@_)"/>
    <numFmt numFmtId="213" formatCode="\€\ #,##0.0_);\(\€\ #,##0.0\);@_)"/>
    <numFmt numFmtId="214" formatCode="\€\ #,##0.0_);\(\€\ #,##0.0\);&quot;-&quot;?_);@_)"/>
    <numFmt numFmtId="215" formatCode="* _(#,##0.0_);* \(#,##0.0\);* _(&quot;-&quot;??_);_(@_)"/>
    <numFmt numFmtId="216" formatCode="0.0\x_9"/>
    <numFmt numFmtId="217" formatCode="0.00_)"/>
    <numFmt numFmtId="218" formatCode="#,##0.0\x;\-#,##0.0\x;&quot;-&quot;?_);@_)"/>
    <numFmt numFmtId="219" formatCode="#,##0.0\x_);\(#,##0.0\x\);#,##0.0\x_);@_)"/>
    <numFmt numFmtId="220" formatCode="0.00\x"/>
    <numFmt numFmtId="221" formatCode="#,##0.0;\(#,##0.0\)"/>
    <numFmt numFmtId="222" formatCode="#,##0.000;\(#,##0.000\)"/>
    <numFmt numFmtId="223" formatCode="0.0%_%;\(0.0%\)_%"/>
    <numFmt numFmtId="224" formatCode="_(* #,##0.0%_);_(* \(#,##0.0%\);_(* &quot;--- %&quot;_);_(* @_%_)"/>
    <numFmt numFmtId="225" formatCode="#,##0.0\%_);\(#,##0.0\%\);#,##0.0\%_);@_)"/>
    <numFmt numFmtId="226" formatCode="#,##0.00_);\(#,##0.00\);_(* &quot;-&quot;_)"/>
    <numFmt numFmtId="227" formatCode="#,##0.0\x"/>
    <numFmt numFmtId="228" formatCode="#,##0.0_);\(#,##0.0\);_(* &quot;-&quot;_)"/>
    <numFmt numFmtId="229" formatCode="#,##0_);\(#,##0\);_(* &quot;-&quot;_);_(* &quot;-&quot;_)"/>
    <numFmt numFmtId="230" formatCode="_(&quot;$&quot;* #,##0.00_);_(&quot;$&quot;* \(#,##0.00\);_(* &quot;-&quot;_);_(@_)"/>
    <numFmt numFmtId="231" formatCode="_(###.##%_);\(* &quot;-&quot;_);_(@_)"/>
    <numFmt numFmtId="232" formatCode="m/d/yy"/>
    <numFmt numFmtId="233" formatCode="#,##0.00\x"/>
    <numFmt numFmtId="234" formatCode="0.0\ \x_);\(0.0\ \x\);@_ _x_)"/>
    <numFmt numFmtId="235" formatCode="0.0_ _x_);\(0.0\)_ _x;@_ _x_)"/>
    <numFmt numFmtId="236" formatCode="0.0"/>
    <numFmt numFmtId="237" formatCode="#,###.0;[Red]\-#,###.0;&quot; - &quot;\ "/>
    <numFmt numFmtId="238" formatCode="[$-409]dd\-mmm\-yy;@"/>
    <numFmt numFmtId="239" formatCode="_ * #,##0.00_ ;_ * \-#,##0.00_ ;_ * &quot;-&quot;??_ ;_ @_ "/>
    <numFmt numFmtId="240" formatCode="&quot;Tax on operat.profit (2) &quot;\ 0.0%"/>
    <numFmt numFmtId="241" formatCode="mmm\/yy"/>
    <numFmt numFmtId="242" formatCode="&quot;$&quot;\ #,##0.00;\-&quot;$&quot;\ #,##0.00;&quot;-&quot;"/>
    <numFmt numFmtId="243" formatCode="_(* #,##0_);_(* \(#,##0\);_(* &quot;-&quot;??_);_(@_)"/>
    <numFmt numFmtId="244" formatCode="0.0000%"/>
    <numFmt numFmtId="245" formatCode="0.00&quot;%&quot;"/>
    <numFmt numFmtId="246" formatCode="#,##0%;[Red]\-#,##0%;&quot; - &quot;"/>
    <numFmt numFmtId="247" formatCode="#,##0.0%;[Red]\-#,##0.0%;&quot; - &quot;"/>
    <numFmt numFmtId="248" formatCode="#,##0.0000"/>
    <numFmt numFmtId="249" formatCode="#,##0.0#;[Red]\ \ \(#,##0.0#\);\ &quot; - &quot;;"/>
    <numFmt numFmtId="250" formatCode="#,##0;[Red]\ \ \(#,##0\);\ &quot; - &quot;;"/>
    <numFmt numFmtId="251" formatCode="#,##0.00;[Red]\ \ \(#,##0.00\);\ &quot; - &quot;;"/>
    <numFmt numFmtId="252" formatCode="_-* #,##0_-;\-* #,##0_-;_-* &quot;-&quot;??_-;_-@_-"/>
    <numFmt numFmtId="253" formatCode="#,##0_)\x;\(#,##0\)\x;0_)\x;@_)_x"/>
    <numFmt numFmtId="254" formatCode="0.000%"/>
    <numFmt numFmtId="255" formatCode="d\.m\.yy"/>
    <numFmt numFmtId="256" formatCode="_-[$€-2]* #,##0.00_-;\-[$€-2]* #,##0.00_-;_-[$€-2]* &quot;-&quot;??_-"/>
    <numFmt numFmtId="257" formatCode="0.0%_-"/>
    <numFmt numFmtId="258" formatCode="0.000_-"/>
    <numFmt numFmtId="259" formatCode="#,##0.000;\-#,##0.000"/>
  </numFmts>
  <fonts count="188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18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b/>
      <sz val="10"/>
      <color indexed="23"/>
      <name val="Arial"/>
      <family val="2"/>
    </font>
    <font>
      <sz val="10"/>
      <color rgb="FF0070C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indexed="63"/>
      <name val="Arial"/>
      <family val="2"/>
    </font>
    <font>
      <b/>
      <sz val="9"/>
      <color indexed="81"/>
      <name val="Geneva"/>
    </font>
    <font>
      <sz val="9"/>
      <color indexed="81"/>
      <name val="Geneva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8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b/>
      <sz val="10"/>
      <color rgb="FFFF0000"/>
      <name val="Courier New"/>
      <family val="3"/>
    </font>
    <font>
      <b/>
      <sz val="10"/>
      <color theme="1"/>
      <name val="Courier New"/>
      <family val="3"/>
    </font>
    <font>
      <b/>
      <sz val="10"/>
      <color rgb="FF0070C0"/>
      <name val="Courier New"/>
      <family val="3"/>
    </font>
    <font>
      <sz val="10"/>
      <color rgb="FFFF0000"/>
      <name val="Courier New"/>
      <family val="3"/>
    </font>
    <font>
      <sz val="10"/>
      <color indexed="63"/>
      <name val="Courier New"/>
      <family val="3"/>
    </font>
    <font>
      <sz val="10"/>
      <color indexed="10"/>
      <name val="Courier New"/>
      <family val="3"/>
    </font>
    <font>
      <sz val="10"/>
      <color rgb="FF0070C0"/>
      <name val="Courier New"/>
      <family val="3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color indexed="16"/>
      <name val="Credit Suisse Type Roman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sz val="10"/>
      <name val="Geneva"/>
      <family val="2"/>
    </font>
    <font>
      <b/>
      <sz val="10"/>
      <name val="MS Sans Serif"/>
      <family val="2"/>
    </font>
    <font>
      <sz val="10"/>
      <name val="Arial Narrow"/>
      <family val="2"/>
    </font>
    <font>
      <sz val="10"/>
      <name val="GillSans"/>
    </font>
    <font>
      <sz val="10"/>
      <name val="Palatino"/>
      <family val="1"/>
    </font>
    <font>
      <sz val="9"/>
      <name val="Arial"/>
      <family val="2"/>
    </font>
    <font>
      <sz val="8"/>
      <name val="MS Serif"/>
      <family val="1"/>
    </font>
    <font>
      <sz val="12"/>
      <name val="Times"/>
      <family val="1"/>
    </font>
    <font>
      <sz val="8"/>
      <color indexed="49"/>
      <name val="Times New Roman"/>
      <family val="1"/>
    </font>
    <font>
      <sz val="10"/>
      <color indexed="8"/>
      <name val="MS Sans Serif"/>
      <family val="2"/>
    </font>
    <font>
      <sz val="10"/>
      <name val="Times New Roman"/>
      <family val="1"/>
    </font>
    <font>
      <u/>
      <sz val="8.4"/>
      <color indexed="12"/>
      <name val="Arial"/>
      <family val="2"/>
    </font>
    <font>
      <sz val="12"/>
      <name val="???"/>
      <family val="1"/>
    </font>
    <font>
      <b/>
      <sz val="9"/>
      <name val="Arial"/>
      <family val="2"/>
    </font>
    <font>
      <sz val="8"/>
      <name val="Times New Roman"/>
      <family val="1"/>
    </font>
    <font>
      <sz val="10"/>
      <name val="MS Sans Serif"/>
      <family val="2"/>
    </font>
    <font>
      <sz val="11"/>
      <name val="Arial"/>
      <family val="2"/>
    </font>
    <font>
      <sz val="12"/>
      <name val="Arial"/>
      <family val="2"/>
    </font>
    <font>
      <sz val="10"/>
      <name val="SWISS"/>
    </font>
    <font>
      <sz val="8"/>
      <name val="Palatino"/>
      <family val="1"/>
    </font>
    <font>
      <sz val="9"/>
      <color indexed="8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b/>
      <sz val="9"/>
      <color indexed="18"/>
      <name val="Arial"/>
      <family val="2"/>
    </font>
    <font>
      <b/>
      <u val="singleAccounting"/>
      <sz val="10"/>
      <color indexed="18"/>
      <name val="Arial"/>
      <family val="2"/>
    </font>
    <font>
      <b/>
      <u val="singleAccounting"/>
      <sz val="9"/>
      <color indexed="18"/>
      <name val="Arial"/>
      <family val="2"/>
    </font>
    <font>
      <sz val="12"/>
      <name val="Times New Roman"/>
      <family val="1"/>
    </font>
    <font>
      <sz val="14"/>
      <name val="AngsanaUPC"/>
      <family val="1"/>
    </font>
    <font>
      <sz val="8"/>
      <name val="Helv"/>
      <family val="2"/>
    </font>
    <font>
      <sz val="12"/>
      <name val="Arial MT"/>
    </font>
    <font>
      <b/>
      <sz val="7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i/>
      <sz val="8"/>
      <color indexed="16"/>
      <name val="Arial"/>
      <family val="2"/>
    </font>
    <font>
      <i/>
      <sz val="8"/>
      <color indexed="54"/>
      <name val="Arial"/>
      <family val="2"/>
    </font>
    <font>
      <i/>
      <sz val="9"/>
      <color indexed="16"/>
      <name val="Arial"/>
      <family val="2"/>
    </font>
    <font>
      <b/>
      <sz val="11"/>
      <name val="Arial"/>
      <family val="2"/>
    </font>
    <font>
      <sz val="9"/>
      <color indexed="12"/>
      <name val="Times New Roman"/>
      <family val="1"/>
    </font>
    <font>
      <b/>
      <sz val="8"/>
      <name val="Arial"/>
      <family val="2"/>
    </font>
    <font>
      <i/>
      <sz val="8"/>
      <name val="Arial"/>
      <family val="2"/>
    </font>
    <font>
      <sz val="7"/>
      <name val="Ariel"/>
    </font>
    <font>
      <sz val="10"/>
      <color indexed="10"/>
      <name val="Times New Roman"/>
      <family val="1"/>
    </font>
    <font>
      <sz val="8"/>
      <color indexed="13"/>
      <name val="Arial"/>
      <family val="2"/>
    </font>
    <font>
      <sz val="10"/>
      <color indexed="8"/>
      <name val="Times"/>
      <family val="1"/>
    </font>
    <font>
      <sz val="10"/>
      <color indexed="8"/>
      <name val="Times New Roman"/>
      <family val="1"/>
    </font>
    <font>
      <sz val="9"/>
      <color indexed="9"/>
      <name val="Times New Roman"/>
      <family val="1"/>
    </font>
    <font>
      <b/>
      <sz val="10"/>
      <name val="Times New Roman"/>
      <family val="1"/>
    </font>
    <font>
      <sz val="8"/>
      <color indexed="12"/>
      <name val="Times"/>
      <family val="1"/>
    </font>
    <font>
      <b/>
      <sz val="10"/>
      <color indexed="9"/>
      <name val="Arial"/>
      <family val="2"/>
    </font>
    <font>
      <sz val="9"/>
      <color indexed="18"/>
      <name val="CharterITC BT"/>
      <family val="1"/>
    </font>
    <font>
      <sz val="10"/>
      <color indexed="12"/>
      <name val="Times New Roman"/>
      <family val="1"/>
    </font>
    <font>
      <sz val="9"/>
      <color indexed="12"/>
      <name val="Times"/>
      <family val="1"/>
    </font>
    <font>
      <b/>
      <sz val="8"/>
      <name val="Arial Narrow"/>
      <family val="2"/>
    </font>
    <font>
      <b/>
      <sz val="12"/>
      <name val="Times New Roman"/>
      <family val="1"/>
    </font>
    <font>
      <sz val="8"/>
      <name val="Arial Narrow"/>
      <family val="2"/>
    </font>
    <font>
      <sz val="8"/>
      <name val="Wingdings"/>
      <charset val="2"/>
    </font>
    <font>
      <b/>
      <i/>
      <sz val="9"/>
      <name val="Arial"/>
      <family val="2"/>
    </font>
    <font>
      <b/>
      <sz val="8"/>
      <name val="TimesNewRomanPS"/>
      <family val="1"/>
    </font>
    <font>
      <sz val="11"/>
      <name val="?? ?????"/>
      <family val="3"/>
    </font>
    <font>
      <sz val="11"/>
      <name val="Book Antiqua"/>
      <family val="1"/>
    </font>
    <font>
      <b/>
      <sz val="10"/>
      <name val="Helv"/>
      <family val="2"/>
    </font>
    <font>
      <b/>
      <sz val="10"/>
      <name val="MS Serif"/>
      <family val="1"/>
    </font>
    <font>
      <b/>
      <sz val="12"/>
      <name val="Arial"/>
      <family val="2"/>
    </font>
    <font>
      <sz val="10"/>
      <color indexed="18"/>
      <name val="Times New Roman"/>
      <family val="1"/>
    </font>
    <font>
      <b/>
      <sz val="11"/>
      <name val="Times New Roman"/>
      <family val="1"/>
    </font>
    <font>
      <b/>
      <i/>
      <sz val="8"/>
      <name val="Arial"/>
      <family val="2"/>
    </font>
    <font>
      <b/>
      <sz val="8"/>
      <name val="Book Antiqua"/>
      <family val="1"/>
    </font>
    <font>
      <b/>
      <sz val="8"/>
      <name val="GillSans"/>
    </font>
    <font>
      <u/>
      <sz val="8"/>
      <color indexed="12"/>
      <name val="Times New Roman"/>
      <family val="1"/>
    </font>
    <font>
      <sz val="10"/>
      <name val="Helv"/>
    </font>
    <font>
      <sz val="8"/>
      <color indexed="12"/>
      <name val="Times New Roman"/>
      <family val="1"/>
    </font>
    <font>
      <sz val="8"/>
      <color indexed="21"/>
      <name val="Palatino"/>
      <family val="1"/>
    </font>
    <font>
      <sz val="10"/>
      <color indexed="24"/>
      <name val="Arial"/>
      <family val="2"/>
    </font>
    <font>
      <sz val="10"/>
      <name val="BERNHARD"/>
    </font>
    <font>
      <sz val="10"/>
      <color indexed="12"/>
      <name val="Geneva"/>
    </font>
    <font>
      <i/>
      <sz val="9"/>
      <name val="MS Sans Serif"/>
      <family val="2"/>
    </font>
    <font>
      <sz val="24"/>
      <name val="Arial"/>
      <family val="2"/>
    </font>
    <font>
      <b/>
      <sz val="14"/>
      <name val="Arial"/>
      <family val="2"/>
    </font>
    <font>
      <sz val="10"/>
      <name val="MS Serif"/>
      <family val="1"/>
    </font>
    <font>
      <sz val="14"/>
      <name val="Palatino"/>
      <family val="1"/>
    </font>
    <font>
      <sz val="16"/>
      <name val="Palatino"/>
      <family val="1"/>
    </font>
    <font>
      <sz val="32"/>
      <name val="Helvetica-Black"/>
    </font>
    <font>
      <sz val="10"/>
      <name val="Book Antiqua"/>
      <family val="1"/>
    </font>
    <font>
      <sz val="8"/>
      <color indexed="8"/>
      <name val="Times New Roman"/>
      <family val="1"/>
    </font>
    <font>
      <sz val="11"/>
      <color indexed="12"/>
      <name val="Book Antiqua"/>
      <family val="1"/>
    </font>
    <font>
      <sz val="8"/>
      <color indexed="16"/>
      <name val="Palatino"/>
      <family val="1"/>
    </font>
    <font>
      <b/>
      <sz val="7.5"/>
      <color indexed="8"/>
      <name val="Arial"/>
      <family val="2"/>
    </font>
    <font>
      <sz val="8"/>
      <color indexed="18"/>
      <name val="Times New Roman"/>
      <family val="1"/>
    </font>
    <font>
      <u val="doubleAccounting"/>
      <sz val="10"/>
      <name val="Times New Roman"/>
      <family val="1"/>
    </font>
    <font>
      <sz val="1"/>
      <color indexed="8"/>
      <name val="Courier"/>
      <family val="3"/>
    </font>
    <font>
      <b/>
      <sz val="8"/>
      <name val="Times New Roman"/>
      <family val="1"/>
    </font>
    <font>
      <u val="doubleAccounting"/>
      <sz val="10"/>
      <name val="Arial"/>
      <family val="2"/>
    </font>
    <font>
      <b/>
      <i/>
      <sz val="8"/>
      <color indexed="12"/>
      <name val="Arial"/>
      <family val="2"/>
    </font>
    <font>
      <sz val="10"/>
      <color indexed="16"/>
      <name val="MS Serif"/>
      <family val="1"/>
    </font>
    <font>
      <b/>
      <sz val="9.5"/>
      <color indexed="10"/>
      <name val="MS Sans Serif"/>
      <family val="2"/>
    </font>
    <font>
      <b/>
      <u/>
      <sz val="12"/>
      <name val="Arial Narrow"/>
      <family val="2"/>
    </font>
    <font>
      <i/>
      <sz val="10"/>
      <color indexed="10"/>
      <name val="Times New Roman"/>
      <family val="1"/>
    </font>
    <font>
      <sz val="10"/>
      <color indexed="12"/>
      <name val="Arial Narrow"/>
      <family val="2"/>
    </font>
    <font>
      <b/>
      <sz val="7"/>
      <color indexed="12"/>
      <name val="Arial"/>
      <family val="2"/>
    </font>
    <font>
      <sz val="14"/>
      <color indexed="32"/>
      <name val="Times New Roman"/>
      <family val="1"/>
    </font>
    <font>
      <sz val="6"/>
      <color indexed="23"/>
      <name val="Helvetica-Black"/>
    </font>
    <font>
      <sz val="9.5"/>
      <color indexed="23"/>
      <name val="Helvetica-Black"/>
    </font>
    <font>
      <sz val="7"/>
      <name val="Palatino"/>
      <family val="1"/>
    </font>
    <font>
      <sz val="7"/>
      <name val="Arial"/>
      <family val="2"/>
    </font>
    <font>
      <u val="singleAccounting"/>
      <sz val="8"/>
      <name val="Arial"/>
      <family val="2"/>
    </font>
    <font>
      <u val="singleAccounting"/>
      <sz val="9"/>
      <color indexed="12"/>
      <name val="Arial"/>
      <family val="2"/>
    </font>
    <font>
      <sz val="10"/>
      <name val="C Helvetica Condensed"/>
    </font>
    <font>
      <sz val="9"/>
      <name val="Times"/>
      <family val="1"/>
    </font>
    <font>
      <b/>
      <i/>
      <sz val="8"/>
      <name val="Arial Narrow"/>
      <family val="2"/>
    </font>
    <font>
      <b/>
      <sz val="10"/>
      <color indexed="17"/>
      <name val="Helv"/>
    </font>
    <font>
      <sz val="7"/>
      <name val="Times New Roman"/>
      <family val="1"/>
    </font>
    <font>
      <b/>
      <sz val="7"/>
      <color indexed="17"/>
      <name val="Arial"/>
      <family val="2"/>
    </font>
    <font>
      <sz val="9"/>
      <name val="Futura UBS Bk"/>
      <family val="2"/>
    </font>
    <font>
      <b/>
      <sz val="10"/>
      <color indexed="9"/>
      <name val="GillSans"/>
    </font>
    <font>
      <b/>
      <i/>
      <sz val="12"/>
      <name val="Times"/>
      <family val="1"/>
    </font>
    <font>
      <b/>
      <sz val="10"/>
      <color indexed="8"/>
      <name val="GillSans"/>
    </font>
    <font>
      <sz val="6"/>
      <name val="Palatino"/>
      <family val="1"/>
    </font>
    <font>
      <b/>
      <sz val="8"/>
      <name val="Palatino"/>
      <family val="1"/>
    </font>
    <font>
      <b/>
      <sz val="8"/>
      <name val="Helv"/>
    </font>
    <font>
      <sz val="10"/>
      <name val="Helvetica-Black"/>
    </font>
    <font>
      <sz val="28"/>
      <name val="Helvetica-Black"/>
    </font>
    <font>
      <b/>
      <i/>
      <sz val="16"/>
      <name val="Helv"/>
    </font>
    <font>
      <b/>
      <sz val="26"/>
      <name val="Times New Roman"/>
      <family val="1"/>
    </font>
    <font>
      <b/>
      <sz val="18"/>
      <name val="Times New Roman"/>
      <family val="1"/>
    </font>
    <font>
      <u val="singleAccounting"/>
      <sz val="10"/>
      <name val="Arial"/>
      <family val="2"/>
    </font>
    <font>
      <b/>
      <sz val="13"/>
      <color indexed="8"/>
      <name val="Verdana"/>
      <family val="2"/>
    </font>
    <font>
      <b/>
      <sz val="8"/>
      <color indexed="9"/>
      <name val="Verdana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sz val="2"/>
      <color indexed="9"/>
      <name val="Symbol"/>
      <family val="1"/>
    </font>
    <font>
      <sz val="8"/>
      <color indexed="39"/>
      <name val="Arial"/>
      <family val="2"/>
    </font>
    <font>
      <b/>
      <sz val="15"/>
      <color theme="3"/>
      <name val="Arial"/>
      <family val="2"/>
    </font>
    <font>
      <sz val="10"/>
      <color theme="1"/>
      <name val="Courier New"/>
      <family val="3"/>
    </font>
    <font>
      <u/>
      <sz val="10"/>
      <color indexed="12"/>
      <name val="Arial"/>
      <family val="2"/>
    </font>
    <font>
      <sz val="10"/>
      <color theme="1"/>
      <name val="Courier New"/>
      <family val="2"/>
    </font>
    <font>
      <sz val="10"/>
      <color indexed="9"/>
      <name val="Arial"/>
      <family val="2"/>
    </font>
    <font>
      <sz val="9"/>
      <name val="Geneva"/>
    </font>
    <font>
      <sz val="10"/>
      <color indexed="12"/>
      <name val="Helv"/>
    </font>
    <font>
      <sz val="10"/>
      <name val="Geneva"/>
    </font>
    <font>
      <u/>
      <sz val="6"/>
      <color indexed="12"/>
      <name val="Times New Roman"/>
      <family val="1"/>
    </font>
    <font>
      <u/>
      <sz val="8.5"/>
      <color theme="10"/>
      <name val="Arial"/>
      <family val="2"/>
    </font>
    <font>
      <u/>
      <sz val="10"/>
      <color theme="10"/>
      <name val="Arial"/>
      <family val="2"/>
    </font>
    <font>
      <u/>
      <sz val="6.3"/>
      <color theme="10"/>
      <name val="Courier New"/>
      <family val="2"/>
    </font>
    <font>
      <u/>
      <sz val="10"/>
      <color theme="10"/>
      <name val="Courier New"/>
      <family val="2"/>
    </font>
    <font>
      <sz val="11"/>
      <color theme="1"/>
      <name val="Times New Roman"/>
      <family val="2"/>
    </font>
    <font>
      <sz val="10"/>
      <color indexed="10"/>
      <name val="Courier"/>
      <family val="3"/>
    </font>
    <font>
      <b/>
      <sz val="18"/>
      <color indexed="62"/>
      <name val="Cambria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12"/>
      <name val="Tahoma"/>
      <family val="2"/>
    </font>
    <font>
      <sz val="14"/>
      <name val="Helv"/>
    </font>
    <font>
      <b/>
      <sz val="9"/>
      <color indexed="46"/>
      <name val="Arial"/>
      <family val="2"/>
    </font>
    <font>
      <sz val="10"/>
      <color rgb="FF0070C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9"/>
      </patternFill>
    </fill>
    <fill>
      <patternFill patternType="solid">
        <fgColor indexed="43"/>
      </patternFill>
    </fill>
    <fill>
      <patternFill patternType="solid">
        <fgColor indexed="36"/>
      </patternFill>
    </fill>
    <fill>
      <patternFill patternType="solid">
        <fgColor indexed="59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1"/>
        <bgColor indexed="64"/>
      </patternFill>
    </fill>
    <fill>
      <patternFill patternType="gray0625">
        <fgColor indexed="10"/>
        <bgColor indexed="9"/>
      </patternFill>
    </fill>
    <fill>
      <patternFill patternType="solid">
        <fgColor indexed="32"/>
        <bgColor indexed="64"/>
      </patternFill>
    </fill>
    <fill>
      <patternFill patternType="solid">
        <fgColor indexed="17"/>
        <bgColor indexed="64"/>
      </patternFill>
    </fill>
    <fill>
      <patternFill patternType="gray0625"/>
    </fill>
    <fill>
      <patternFill patternType="lightGray">
        <fgColor indexed="14"/>
        <bgColor indexed="9"/>
      </patternFill>
    </fill>
    <fill>
      <patternFill patternType="lightGray">
        <fgColor indexed="15"/>
      </patternFill>
    </fill>
    <fill>
      <patternFill patternType="gray0625">
        <fgColor indexed="15"/>
      </patternFill>
    </fill>
    <fill>
      <patternFill patternType="lightGray">
        <fgColor indexed="12"/>
      </patternFill>
    </fill>
    <fill>
      <patternFill patternType="solid">
        <fgColor indexed="63"/>
        <bgColor indexed="64"/>
      </patternFill>
    </fill>
    <fill>
      <patternFill patternType="solid">
        <fgColor indexed="15"/>
        <bgColor indexed="64"/>
      </patternFill>
    </fill>
    <fill>
      <patternFill patternType="lightGray">
        <fgColor indexed="12"/>
        <bgColor indexed="9"/>
      </patternFill>
    </fill>
    <fill>
      <patternFill patternType="solid">
        <fgColor indexed="35"/>
        <bgColor indexed="64"/>
      </patternFill>
    </fill>
    <fill>
      <patternFill patternType="solid">
        <fgColor indexed="26"/>
        <bgColor indexed="64"/>
      </patternFill>
    </fill>
    <fill>
      <patternFill patternType="mediumGray"/>
    </fill>
    <fill>
      <patternFill patternType="solid">
        <fgColor indexed="56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7"/>
        <bgColor indexed="47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55"/>
        <bgColor indexed="55"/>
      </patternFill>
    </fill>
    <fill>
      <patternFill patternType="solid">
        <fgColor indexed="26"/>
        <bgColor indexed="26"/>
      </patternFill>
    </fill>
    <fill>
      <patternFill patternType="solid">
        <fgColor indexed="43"/>
        <bgColor indexed="43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6"/>
        <bgColor indexed="64"/>
      </patternFill>
    </fill>
  </fills>
  <borders count="6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hair">
        <color indexed="23"/>
      </left>
      <right/>
      <top style="hair">
        <color indexed="23"/>
      </top>
      <bottom style="hair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23"/>
      </bottom>
      <diagonal/>
    </border>
    <border>
      <left style="hair">
        <color indexed="23"/>
      </left>
      <right/>
      <top/>
      <bottom style="hair">
        <color indexed="23"/>
      </bottom>
      <diagonal/>
    </border>
    <border>
      <left/>
      <right style="thin">
        <color indexed="64"/>
      </right>
      <top/>
      <bottom style="hair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55"/>
      </bottom>
      <diagonal/>
    </border>
    <border>
      <left/>
      <right style="thin">
        <color indexed="64"/>
      </right>
      <top style="hair">
        <color indexed="23"/>
      </top>
      <bottom style="hair">
        <color indexed="23"/>
      </bottom>
      <diagonal/>
    </border>
    <border>
      <left/>
      <right style="thin">
        <color indexed="64"/>
      </right>
      <top style="thin">
        <color indexed="64"/>
      </top>
      <bottom style="hair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55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ck">
        <color indexed="37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/>
      <bottom style="dotted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/>
      <right/>
      <top/>
      <bottom style="thin">
        <color indexed="44"/>
      </bottom>
      <diagonal/>
    </border>
    <border>
      <left/>
      <right/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2638">
    <xf numFmtId="0" fontId="0" fillId="0" borderId="0"/>
    <xf numFmtId="0" fontId="1" fillId="0" borderId="0" applyFont="0" applyFill="0" applyBorder="0" applyAlignment="0" applyProtection="0"/>
    <xf numFmtId="166" fontId="1" fillId="0" borderId="0" applyFont="0" applyFill="0" applyBorder="0" applyProtection="0">
      <alignment horizontal="right"/>
    </xf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39" fontId="1" fillId="0" borderId="0" applyFont="0" applyFill="0" applyBorder="0" applyProtection="0">
      <alignment horizontal="right"/>
    </xf>
    <xf numFmtId="9" fontId="30" fillId="0" borderId="0" applyFont="0" applyFill="0" applyBorder="0" applyAlignment="0" applyProtection="0"/>
    <xf numFmtId="0" fontId="32" fillId="0" borderId="0"/>
    <xf numFmtId="9" fontId="34" fillId="0" borderId="0">
      <alignment horizontal="right"/>
    </xf>
    <xf numFmtId="0" fontId="35" fillId="0" borderId="0"/>
    <xf numFmtId="0" fontId="36" fillId="0" borderId="0" applyNumberFormat="0" applyFill="0" applyBorder="0" applyAlignment="0" applyProtection="0"/>
    <xf numFmtId="181" fontId="37" fillId="0" borderId="0" applyFont="0" applyFill="0" applyBorder="0" applyAlignment="0" applyProtection="0"/>
    <xf numFmtId="182" fontId="37" fillId="0" borderId="0" applyFont="0" applyFill="0" applyBorder="0" applyAlignment="0" applyProtection="0"/>
    <xf numFmtId="183" fontId="37" fillId="0" borderId="0" applyFont="0" applyFill="0" applyBorder="0" applyAlignment="0" applyProtection="0"/>
    <xf numFmtId="184" fontId="37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38" fillId="0" borderId="0"/>
    <xf numFmtId="175" fontId="35" fillId="0" borderId="0" applyFont="0" applyFill="0" applyBorder="0" applyAlignment="0" applyProtection="0"/>
    <xf numFmtId="0" fontId="39" fillId="0" borderId="0"/>
    <xf numFmtId="0" fontId="39" fillId="0" borderId="0"/>
    <xf numFmtId="0" fontId="40" fillId="0" borderId="0"/>
    <xf numFmtId="0" fontId="39" fillId="0" borderId="0"/>
    <xf numFmtId="0" fontId="31" fillId="0" borderId="0">
      <alignment horizontal="right"/>
    </xf>
    <xf numFmtId="15" fontId="1" fillId="0" borderId="28" applyBorder="0"/>
    <xf numFmtId="0" fontId="1" fillId="0" borderId="0"/>
    <xf numFmtId="185" fontId="37" fillId="0" borderId="0" applyFont="0" applyFill="0" applyBorder="0" applyAlignment="0" applyProtection="0"/>
    <xf numFmtId="0" fontId="31" fillId="0" borderId="0"/>
    <xf numFmtId="9" fontId="41" fillId="10" borderId="29">
      <alignment horizontal="right" vertical="center"/>
    </xf>
    <xf numFmtId="0" fontId="31" fillId="0" borderId="0"/>
    <xf numFmtId="186" fontId="31" fillId="0" borderId="0"/>
    <xf numFmtId="0" fontId="42" fillId="0" borderId="0"/>
    <xf numFmtId="10" fontId="35" fillId="0" borderId="0" applyFont="0" applyFill="0" applyBorder="0" applyAlignment="0" applyProtection="0"/>
    <xf numFmtId="0" fontId="42" fillId="0" borderId="0"/>
    <xf numFmtId="0" fontId="42" fillId="0" borderId="0"/>
    <xf numFmtId="0" fontId="42" fillId="0" borderId="0"/>
    <xf numFmtId="9" fontId="35" fillId="0" borderId="0" applyFont="0" applyFill="0" applyBorder="0" applyAlignment="0" applyProtection="0"/>
    <xf numFmtId="0" fontId="43" fillId="0" borderId="0" applyFont="0" applyFill="0" applyBorder="0" applyAlignment="0" applyProtection="0"/>
    <xf numFmtId="0" fontId="44" fillId="0" borderId="0" applyNumberFormat="0" applyFont="0" applyFill="0" applyBorder="0" applyAlignment="0" applyProtection="0"/>
    <xf numFmtId="0" fontId="1" fillId="0" borderId="30" applyBorder="0"/>
    <xf numFmtId="0" fontId="45" fillId="0" borderId="0" applyFont="0" applyFill="0" applyBorder="0" applyAlignment="0"/>
    <xf numFmtId="0" fontId="1" fillId="0" borderId="0" applyFont="0" applyFill="0" applyBorder="0" applyAlignment="0" applyProtection="0"/>
    <xf numFmtId="0" fontId="31" fillId="0" borderId="0" applyFont="0" applyFill="0" applyBorder="0" applyAlignment="0" applyProtection="0"/>
    <xf numFmtId="187" fontId="31" fillId="0" borderId="0" applyFont="0" applyFill="0" applyBorder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31" fillId="0" borderId="0" applyFont="0" applyFill="0" applyBorder="0" applyAlignment="0" applyProtection="0"/>
    <xf numFmtId="188" fontId="31" fillId="0" borderId="0" applyFont="0" applyFill="0" applyBorder="0" applyAlignment="0" applyProtection="0"/>
    <xf numFmtId="0" fontId="47" fillId="0" borderId="0"/>
    <xf numFmtId="0" fontId="48" fillId="0" borderId="0" applyFont="0" applyAlignment="0">
      <alignment horizontal="center" vertical="center"/>
    </xf>
    <xf numFmtId="0" fontId="5" fillId="0" borderId="0" applyNumberFormat="0" applyFont="0" applyBorder="0" applyAlignment="0">
      <alignment horizontal="left"/>
    </xf>
    <xf numFmtId="0" fontId="49" fillId="0" borderId="0"/>
    <xf numFmtId="0" fontId="45" fillId="0" borderId="0"/>
    <xf numFmtId="0" fontId="48" fillId="0" borderId="0" applyFont="0" applyAlignment="0">
      <alignment horizontal="center" vertical="center"/>
    </xf>
    <xf numFmtId="0" fontId="48" fillId="0" borderId="0" applyFont="0" applyAlignment="0">
      <alignment horizontal="center" vertical="center"/>
    </xf>
    <xf numFmtId="0" fontId="48" fillId="0" borderId="0" applyFont="0" applyAlignment="0">
      <alignment horizontal="center" vertical="center"/>
    </xf>
    <xf numFmtId="0" fontId="48" fillId="0" borderId="0" applyFont="0" applyAlignment="0">
      <alignment horizontal="center" vertical="center"/>
    </xf>
    <xf numFmtId="0" fontId="48" fillId="0" borderId="0" applyFont="0" applyAlignment="0">
      <alignment horizontal="center" vertical="center"/>
    </xf>
    <xf numFmtId="0" fontId="48" fillId="0" borderId="0" applyFont="0" applyAlignment="0">
      <alignment horizontal="center" vertical="center"/>
    </xf>
    <xf numFmtId="0" fontId="45" fillId="0" borderId="0"/>
    <xf numFmtId="0" fontId="45" fillId="0" borderId="0"/>
    <xf numFmtId="38" fontId="50" fillId="0" borderId="0" applyFont="0" applyFill="0" applyBorder="0" applyAlignment="0" applyProtection="0"/>
    <xf numFmtId="178" fontId="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188" fontId="31" fillId="0" borderId="0" applyFont="0" applyFill="0" applyBorder="0" applyProtection="0">
      <alignment horizontal="right"/>
    </xf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40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87" fontId="1" fillId="0" borderId="0" applyFont="0" applyFill="0" applyBorder="0" applyAlignment="0" applyProtection="0"/>
    <xf numFmtId="187" fontId="1" fillId="0" borderId="0" applyFont="0" applyFill="0" applyBorder="0" applyAlignment="0" applyProtection="0"/>
    <xf numFmtId="187" fontId="51" fillId="0" borderId="0" applyFont="0" applyFill="0" applyBorder="0" applyAlignment="0" applyProtection="0"/>
    <xf numFmtId="187" fontId="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187" fontId="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187" fontId="40" fillId="0" borderId="0" applyFont="0" applyFill="0" applyBorder="0" applyAlignment="0" applyProtection="0"/>
    <xf numFmtId="187" fontId="1" fillId="0" borderId="0" applyFont="0" applyFill="0" applyBorder="0" applyAlignment="0" applyProtection="0"/>
    <xf numFmtId="187" fontId="1" fillId="0" borderId="0" applyFont="0" applyFill="0" applyBorder="0" applyAlignment="0" applyProtection="0"/>
    <xf numFmtId="0" fontId="1" fillId="0" borderId="0"/>
    <xf numFmtId="0" fontId="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52" fillId="0" borderId="0"/>
    <xf numFmtId="0" fontId="31" fillId="0" borderId="0">
      <alignment horizontal="left" wrapText="1"/>
    </xf>
    <xf numFmtId="0" fontId="31" fillId="0" borderId="0">
      <alignment horizontal="left" wrapText="1"/>
    </xf>
    <xf numFmtId="0" fontId="31" fillId="0" borderId="0">
      <alignment horizontal="left" wrapText="1"/>
    </xf>
    <xf numFmtId="0" fontId="1" fillId="0" borderId="0"/>
    <xf numFmtId="0" fontId="52" fillId="0" borderId="0"/>
    <xf numFmtId="0" fontId="1" fillId="0" borderId="0" applyFont="0" applyFill="0" applyBorder="0" applyAlignment="0" applyProtection="0"/>
    <xf numFmtId="0" fontId="53" fillId="11" borderId="0"/>
    <xf numFmtId="0" fontId="44" fillId="0" borderId="0" applyNumberFormat="0" applyFill="0" applyBorder="0" applyAlignment="0" applyProtection="0"/>
    <xf numFmtId="0" fontId="1" fillId="0" borderId="0" applyFont="0" applyFill="0" applyBorder="0" applyAlignment="0" applyProtection="0"/>
    <xf numFmtId="0" fontId="31" fillId="0" borderId="0"/>
    <xf numFmtId="0" fontId="31" fillId="0" borderId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50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/>
    <xf numFmtId="0" fontId="31" fillId="0" borderId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Alignment="0" applyProtection="0"/>
    <xf numFmtId="189" fontId="3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>
      <alignment horizontal="right" vertical="center"/>
      <protection locked="0"/>
    </xf>
    <xf numFmtId="0" fontId="31" fillId="0" borderId="0">
      <alignment horizontal="right" vertical="center"/>
      <protection locked="0"/>
    </xf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>
      <alignment horizontal="right" vertical="center"/>
      <protection locked="0"/>
    </xf>
    <xf numFmtId="0" fontId="31" fillId="0" borderId="0">
      <alignment horizontal="right" vertical="center"/>
      <protection locked="0"/>
    </xf>
    <xf numFmtId="0" fontId="31" fillId="0" borderId="0">
      <alignment horizontal="right" vertical="center"/>
      <protection locked="0"/>
    </xf>
    <xf numFmtId="0" fontId="31" fillId="0" borderId="0">
      <alignment horizontal="right" vertical="center"/>
      <protection locked="0"/>
    </xf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50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39" fontId="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39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0" fontId="55" fillId="0" borderId="0">
      <alignment horizontal="right" vertical="center"/>
      <protection locked="0"/>
    </xf>
    <xf numFmtId="0" fontId="55" fillId="0" borderId="0">
      <alignment horizontal="right" vertical="center"/>
      <protection locked="0"/>
    </xf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39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39" fontId="40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0" fontId="50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14" fontId="40" fillId="0" borderId="0" applyFont="0" applyFill="0" applyBorder="0" applyProtection="0">
      <alignment horizontal="right"/>
    </xf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31" applyFont="0" applyFill="0" applyBorder="0" applyAlignment="0" applyProtection="0"/>
    <xf numFmtId="0" fontId="31" fillId="0" borderId="31" applyFont="0" applyFill="0" applyBorder="0" applyAlignment="0" applyProtection="0"/>
    <xf numFmtId="0" fontId="31" fillId="0" borderId="31" applyFont="0" applyFill="0" applyBorder="0" applyAlignment="0" applyProtection="0"/>
    <xf numFmtId="0" fontId="1" fillId="0" borderId="0" applyFont="0" applyFill="0" applyBorder="0" applyAlignment="0" applyProtection="0"/>
    <xf numFmtId="3" fontId="40" fillId="0" borderId="0"/>
    <xf numFmtId="0" fontId="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" fillId="12" borderId="0" applyNumberFormat="0" applyFont="0" applyAlignment="0" applyProtection="0"/>
    <xf numFmtId="0" fontId="1" fillId="12" borderId="0" applyNumberFormat="0" applyFont="0" applyAlignment="0" applyProtection="0"/>
    <xf numFmtId="0" fontId="1" fillId="12" borderId="0" applyNumberFormat="0" applyFont="0" applyAlignment="0" applyProtection="0"/>
    <xf numFmtId="0" fontId="1" fillId="12" borderId="0" applyNumberFormat="0" applyFont="0" applyAlignment="0" applyProtection="0"/>
    <xf numFmtId="0" fontId="40" fillId="12" borderId="0" applyNumberFormat="0" applyFont="0" applyAlignment="0" applyProtection="0"/>
    <xf numFmtId="0" fontId="1" fillId="12" borderId="0" applyNumberFormat="0" applyFont="0" applyAlignment="0" applyProtection="0"/>
    <xf numFmtId="0" fontId="1" fillId="13" borderId="0" applyNumberFormat="0" applyFont="0" applyAlignment="0" applyProtection="0"/>
    <xf numFmtId="0" fontId="1" fillId="12" borderId="0" applyNumberFormat="0" applyFont="0" applyAlignment="0" applyProtection="0"/>
    <xf numFmtId="0" fontId="1" fillId="12" borderId="0" applyNumberFormat="0" applyFont="0" applyAlignment="0" applyProtection="0"/>
    <xf numFmtId="0" fontId="40" fillId="12" borderId="0" applyNumberFormat="0" applyFont="0" applyAlignment="0" applyProtection="0"/>
    <xf numFmtId="0" fontId="40" fillId="14" borderId="0" applyNumberFormat="0" applyFont="0" applyAlignment="0" applyProtection="0"/>
    <xf numFmtId="0" fontId="1" fillId="12" borderId="0" applyNumberFormat="0" applyFont="0" applyAlignment="0" applyProtection="0"/>
    <xf numFmtId="0" fontId="1" fillId="12" borderId="0" applyNumberFormat="0" applyFont="0" applyAlignment="0" applyProtection="0"/>
    <xf numFmtId="0" fontId="45" fillId="12" borderId="0" applyNumberFormat="0" applyFont="0" applyAlignment="0" applyProtection="0"/>
    <xf numFmtId="0" fontId="1" fillId="12" borderId="0" applyNumberFormat="0" applyFont="0" applyAlignment="0" applyProtection="0"/>
    <xf numFmtId="0" fontId="40" fillId="14" borderId="0" applyNumberFormat="0" applyFont="0" applyAlignment="0" applyProtection="0"/>
    <xf numFmtId="0" fontId="1" fillId="0" borderId="0"/>
    <xf numFmtId="0" fontId="1" fillId="12" borderId="0" applyNumberFormat="0" applyFont="0" applyAlignment="0" applyProtection="0"/>
    <xf numFmtId="0" fontId="1" fillId="12" borderId="0" applyNumberFormat="0" applyFont="0" applyAlignment="0" applyProtection="0"/>
    <xf numFmtId="0" fontId="1" fillId="12" borderId="0" applyNumberFormat="0" applyFont="0" applyAlignment="0" applyProtection="0"/>
    <xf numFmtId="0" fontId="1" fillId="12" borderId="0" applyNumberFormat="0" applyFont="0" applyAlignment="0" applyProtection="0"/>
    <xf numFmtId="0" fontId="1" fillId="12" borderId="0" applyNumberFormat="0" applyFont="0" applyAlignment="0" applyProtection="0"/>
    <xf numFmtId="0" fontId="1" fillId="12" borderId="0" applyNumberFormat="0" applyFont="0" applyAlignment="0" applyProtection="0"/>
    <xf numFmtId="0" fontId="1" fillId="12" borderId="0" applyNumberFormat="0" applyFont="0" applyAlignment="0" applyProtection="0"/>
    <xf numFmtId="0" fontId="44" fillId="0" borderId="0" applyNumberFormat="0" applyFill="0" applyBorder="0" applyAlignment="0" applyProtection="0"/>
    <xf numFmtId="0" fontId="1" fillId="0" borderId="0" applyFont="0" applyFill="0" applyBorder="0" applyAlignment="0" applyProtection="0"/>
    <xf numFmtId="0" fontId="31" fillId="0" borderId="0"/>
    <xf numFmtId="0" fontId="31" fillId="0" borderId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5" fillId="0" borderId="0">
      <alignment horizontal="left" vertical="center" indent="4"/>
      <protection locked="0"/>
    </xf>
    <xf numFmtId="0" fontId="55" fillId="0" borderId="0">
      <alignment horizontal="left" vertical="center" indent="4"/>
      <protection locked="0"/>
    </xf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52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51" fillId="0" borderId="0" applyFill="0" applyProtection="0">
      <alignment horizontal="center"/>
    </xf>
    <xf numFmtId="0" fontId="51" fillId="0" borderId="0" applyFill="0" applyProtection="0">
      <alignment horizontal="center"/>
    </xf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40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50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Protection="0">
      <alignment horizontal="right"/>
    </xf>
    <xf numFmtId="0" fontId="1" fillId="0" borderId="0" applyFont="0" applyFill="0" applyBorder="0" applyAlignment="0" applyProtection="0"/>
    <xf numFmtId="0" fontId="1" fillId="0" borderId="0" applyFont="0" applyFill="0" applyBorder="0" applyProtection="0">
      <alignment horizontal="right"/>
    </xf>
    <xf numFmtId="0" fontId="1" fillId="0" borderId="0" applyFont="0" applyFill="0" applyBorder="0" applyProtection="0">
      <alignment horizontal="right"/>
    </xf>
    <xf numFmtId="0" fontId="51" fillId="0" borderId="0" applyFont="0" applyFill="0" applyBorder="0" applyProtection="0">
      <alignment horizontal="right"/>
    </xf>
    <xf numFmtId="0" fontId="1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" fillId="0" borderId="0" applyFont="0" applyFill="0" applyBorder="0" applyProtection="0">
      <alignment horizontal="right"/>
    </xf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Protection="0">
      <alignment horizontal="right"/>
    </xf>
    <xf numFmtId="0" fontId="1" fillId="0" borderId="0" applyFont="0" applyFill="0" applyBorder="0" applyProtection="0">
      <alignment horizontal="right"/>
    </xf>
    <xf numFmtId="0" fontId="1" fillId="0" borderId="0" applyFont="0" applyFill="0" applyBorder="0" applyProtection="0">
      <alignment horizontal="right"/>
    </xf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Alignment="0" applyProtection="0"/>
    <xf numFmtId="0" fontId="1" fillId="0" borderId="0" applyFont="0" applyFill="0" applyBorder="0" applyProtection="0">
      <alignment horizontal="right"/>
    </xf>
    <xf numFmtId="0" fontId="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" fillId="0" borderId="0" applyFont="0" applyFill="0" applyBorder="0" applyProtection="0">
      <alignment horizontal="right"/>
    </xf>
    <xf numFmtId="0" fontId="1" fillId="0" borderId="0" applyFont="0" applyFill="0" applyBorder="0" applyProtection="0">
      <alignment horizontal="right"/>
    </xf>
    <xf numFmtId="0" fontId="1" fillId="0" borderId="0" applyFont="0" applyFill="0" applyBorder="0" applyAlignment="0" applyProtection="0"/>
    <xf numFmtId="0" fontId="1" fillId="0" borderId="0" applyFont="0" applyFill="0" applyBorder="0" applyProtection="0">
      <alignment horizontal="right"/>
    </xf>
    <xf numFmtId="0" fontId="1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1" fillId="0" borderId="0" applyFont="0" applyFill="0" applyBorder="0" applyProtection="0">
      <alignment horizontal="left" indent="4"/>
    </xf>
    <xf numFmtId="0" fontId="1" fillId="0" borderId="0" applyFont="0" applyFill="0" applyBorder="0" applyProtection="0">
      <alignment horizontal="left" indent="4"/>
    </xf>
    <xf numFmtId="0" fontId="1" fillId="0" borderId="0" applyFont="0" applyFill="0" applyBorder="0" applyProtection="0">
      <alignment horizontal="right"/>
    </xf>
    <xf numFmtId="0" fontId="1" fillId="0" borderId="0" applyFont="0" applyFill="0" applyBorder="0" applyProtection="0">
      <alignment horizontal="right"/>
    </xf>
    <xf numFmtId="0" fontId="1" fillId="0" borderId="0" applyFont="0" applyFill="0" applyBorder="0" applyAlignment="0" applyProtection="0"/>
    <xf numFmtId="0" fontId="1" fillId="0" borderId="0" applyFont="0" applyFill="0" applyBorder="0" applyProtection="0">
      <alignment horizontal="right"/>
    </xf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Protection="0">
      <alignment horizontal="right"/>
    </xf>
    <xf numFmtId="0" fontId="1" fillId="0" borderId="0" applyFont="0" applyFill="0" applyBorder="0" applyAlignment="0" applyProtection="0"/>
    <xf numFmtId="0" fontId="1" fillId="0" borderId="0" applyFont="0" applyFill="0" applyBorder="0" applyProtection="0">
      <alignment horizontal="right"/>
    </xf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40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1" fillId="0" borderId="0" applyFont="0" applyFill="0" applyBorder="0" applyProtection="0">
      <alignment horizontal="right"/>
    </xf>
    <xf numFmtId="0" fontId="1" fillId="0" borderId="0" applyFont="0" applyFill="0" applyBorder="0" applyProtection="0">
      <alignment horizontal="right"/>
    </xf>
    <xf numFmtId="0" fontId="1" fillId="0" borderId="0" applyFont="0" applyFill="0" applyBorder="0" applyAlignment="0" applyProtection="0"/>
    <xf numFmtId="0" fontId="50" fillId="0" borderId="0" applyFont="0" applyFill="0" applyBorder="0" applyProtection="0">
      <alignment horizontal="right"/>
    </xf>
    <xf numFmtId="0" fontId="1" fillId="0" borderId="0" applyFont="0" applyFill="0" applyBorder="0" applyProtection="0">
      <alignment horizontal="right"/>
    </xf>
    <xf numFmtId="0" fontId="1" fillId="0" borderId="0" applyFont="0" applyFill="0" applyBorder="0" applyProtection="0">
      <alignment horizontal="right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" fillId="0" borderId="0" applyFont="0" applyFill="0" applyBorder="0" applyProtection="0">
      <alignment horizontal="right"/>
    </xf>
    <xf numFmtId="0" fontId="1" fillId="0" borderId="0" applyFont="0" applyFill="0" applyBorder="0" applyProtection="0">
      <alignment horizontal="right"/>
    </xf>
    <xf numFmtId="0" fontId="1" fillId="0" borderId="0" applyFont="0" applyFill="0" applyBorder="0" applyProtection="0">
      <alignment horizontal="right"/>
    </xf>
    <xf numFmtId="0" fontId="1" fillId="0" borderId="0" applyFont="0" applyFill="0" applyBorder="0" applyProtection="0">
      <alignment horizontal="right"/>
    </xf>
    <xf numFmtId="0" fontId="1" fillId="0" borderId="0" applyFont="0" applyFill="0" applyBorder="0" applyProtection="0">
      <alignment horizontal="right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44" fillId="0" borderId="0" applyNumberFormat="0" applyFill="0" applyBorder="0" applyAlignment="0" applyProtection="0"/>
    <xf numFmtId="0" fontId="1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" fillId="0" borderId="0" applyFont="0" applyFill="0" applyBorder="0" applyProtection="0">
      <alignment horizontal="right"/>
    </xf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32" applyFont="0" applyFill="0" applyBorder="0" applyProtection="0">
      <alignment horizontal="right"/>
    </xf>
    <xf numFmtId="0" fontId="31" fillId="0" borderId="32" applyFont="0" applyFill="0" applyBorder="0" applyProtection="0">
      <alignment horizontal="right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Protection="0">
      <alignment horizontal="right"/>
    </xf>
    <xf numFmtId="0" fontId="31" fillId="0" borderId="0" applyFont="0" applyFill="0" applyBorder="0" applyProtection="0">
      <alignment horizontal="right"/>
    </xf>
    <xf numFmtId="0" fontId="1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187" fontId="1" fillId="0" borderId="0" applyFont="0" applyFill="0" applyBorder="0" applyProtection="0">
      <alignment horizontal="right"/>
    </xf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187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87" fontId="1" fillId="0" borderId="0" applyFont="0" applyFill="0" applyBorder="0" applyAlignment="0" applyProtection="0"/>
    <xf numFmtId="0" fontId="54" fillId="0" borderId="0" applyFont="0" applyFill="0" applyBorder="0" applyAlignment="0" applyProtection="0"/>
    <xf numFmtId="187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87" fontId="40" fillId="0" borderId="0" applyFont="0" applyFill="0" applyBorder="0" applyAlignment="0" applyProtection="0"/>
    <xf numFmtId="187" fontId="40" fillId="0" borderId="0" applyFont="0" applyFill="0" applyBorder="0" applyAlignment="0" applyProtection="0"/>
    <xf numFmtId="187" fontId="40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40" fillId="0" borderId="0" applyFont="0" applyFill="0" applyBorder="0" applyAlignment="0" applyProtection="0"/>
    <xf numFmtId="187" fontId="1" fillId="0" borderId="0" applyFont="0" applyFill="0" applyBorder="0" applyProtection="0">
      <alignment horizontal="right"/>
    </xf>
    <xf numFmtId="187" fontId="50" fillId="0" borderId="0" applyFont="0" applyFill="0" applyBorder="0" applyProtection="0">
      <alignment horizontal="right"/>
    </xf>
    <xf numFmtId="187" fontId="1" fillId="0" borderId="0" applyFont="0" applyFill="0" applyBorder="0" applyAlignment="0" applyProtection="0"/>
    <xf numFmtId="187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Alignment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Alignment="0" applyProtection="0">
      <alignment vertical="top"/>
    </xf>
    <xf numFmtId="0" fontId="57" fillId="0" borderId="0" applyNumberFormat="0" applyFill="0" applyBorder="0" applyAlignment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Alignment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Alignment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Alignment="0" applyProtection="0">
      <alignment vertical="top"/>
    </xf>
    <xf numFmtId="0" fontId="57" fillId="0" borderId="0" applyNumberFormat="0" applyFill="0" applyBorder="0" applyAlignment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Alignment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Alignment="0" applyProtection="0">
      <alignment vertical="top"/>
    </xf>
    <xf numFmtId="0" fontId="57" fillId="0" borderId="0" applyNumberFormat="0" applyFill="0" applyBorder="0" applyAlignment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Alignment="0" applyProtection="0"/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Alignment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7" fillId="0" borderId="0" applyNumberFormat="0" applyFill="0" applyBorder="0" applyProtection="0">
      <alignment vertical="top"/>
    </xf>
    <xf numFmtId="0" fontId="55" fillId="0" borderId="32" applyNumberFormat="0" applyFill="0" applyAlignment="0" applyProtection="0"/>
    <xf numFmtId="0" fontId="55" fillId="0" borderId="32" applyNumberFormat="0" applyFill="0" applyAlignment="0" applyProtection="0"/>
    <xf numFmtId="0" fontId="55" fillId="0" borderId="32" applyNumberFormat="0" applyFill="0" applyAlignment="0" applyProtection="0"/>
    <xf numFmtId="0" fontId="55" fillId="0" borderId="32" applyNumberFormat="0" applyFill="0" applyAlignment="0" applyProtection="0"/>
    <xf numFmtId="0" fontId="55" fillId="0" borderId="32" applyNumberFormat="0" applyFill="0" applyAlignment="0" applyProtection="0"/>
    <xf numFmtId="0" fontId="55" fillId="0" borderId="32" applyNumberFormat="0" applyFill="0" applyAlignment="0" applyProtection="0"/>
    <xf numFmtId="0" fontId="55" fillId="0" borderId="32" applyNumberFormat="0" applyFill="0" applyAlignment="0" applyProtection="0"/>
    <xf numFmtId="0" fontId="55" fillId="0" borderId="32" applyNumberFormat="0" applyFill="0" applyAlignment="0" applyProtection="0"/>
    <xf numFmtId="0" fontId="55" fillId="0" borderId="33" applyNumberFormat="0" applyFill="0" applyAlignment="0" applyProtection="0"/>
    <xf numFmtId="0" fontId="55" fillId="0" borderId="32" applyNumberFormat="0" applyFill="0" applyAlignment="0" applyProtection="0"/>
    <xf numFmtId="0" fontId="55" fillId="0" borderId="33" applyNumberFormat="0" applyFill="0" applyAlignment="0" applyProtection="0"/>
    <xf numFmtId="0" fontId="55" fillId="0" borderId="33" applyNumberFormat="0" applyFill="0" applyAlignment="0" applyProtection="0"/>
    <xf numFmtId="0" fontId="55" fillId="0" borderId="32" applyNumberFormat="0" applyFill="0" applyAlignment="0" applyProtection="0"/>
    <xf numFmtId="0" fontId="55" fillId="0" borderId="32" applyNumberFormat="0" applyFill="0" applyAlignment="0" applyProtection="0"/>
    <xf numFmtId="0" fontId="55" fillId="0" borderId="32" applyNumberFormat="0" applyFill="0" applyAlignment="0" applyProtection="0"/>
    <xf numFmtId="0" fontId="55" fillId="0" borderId="32" applyNumberFormat="0" applyFill="0" applyAlignment="0" applyProtection="0"/>
    <xf numFmtId="0" fontId="55" fillId="0" borderId="33" applyNumberFormat="0" applyFill="0" applyAlignment="0" applyProtection="0"/>
    <xf numFmtId="0" fontId="55" fillId="0" borderId="32" applyNumberFormat="0" applyFill="0" applyAlignment="0" applyProtection="0"/>
    <xf numFmtId="0" fontId="55" fillId="0" borderId="32" applyNumberFormat="0" applyFill="0" applyAlignment="0" applyProtection="0"/>
    <xf numFmtId="0" fontId="55" fillId="0" borderId="32" applyNumberFormat="0" applyFill="0" applyAlignment="0" applyProtection="0"/>
    <xf numFmtId="0" fontId="55" fillId="0" borderId="33" applyNumberFormat="0" applyFill="0" applyAlignment="0" applyProtection="0"/>
    <xf numFmtId="0" fontId="1" fillId="0" borderId="0"/>
    <xf numFmtId="0" fontId="55" fillId="0" borderId="32" applyNumberFormat="0" applyFill="0" applyAlignment="0" applyProtection="0"/>
    <xf numFmtId="0" fontId="55" fillId="0" borderId="32" applyNumberFormat="0" applyFill="0" applyAlignment="0" applyProtection="0"/>
    <xf numFmtId="0" fontId="55" fillId="0" borderId="33" applyNumberFormat="0" applyFill="0" applyAlignment="0" applyProtection="0"/>
    <xf numFmtId="0" fontId="55" fillId="0" borderId="0" applyNumberFormat="0" applyFill="0" applyBorder="0" applyAlignment="0" applyProtection="0"/>
    <xf numFmtId="0" fontId="55" fillId="0" borderId="32" applyNumberFormat="0" applyFill="0" applyAlignment="0" applyProtection="0"/>
    <xf numFmtId="0" fontId="55" fillId="0" borderId="32" applyNumberFormat="0" applyFill="0" applyAlignment="0" applyProtection="0"/>
    <xf numFmtId="0" fontId="55" fillId="0" borderId="32" applyNumberFormat="0" applyFill="0" applyAlignment="0" applyProtection="0"/>
    <xf numFmtId="0" fontId="55" fillId="0" borderId="33" applyNumberFormat="0" applyFill="0" applyAlignment="0" applyProtection="0"/>
    <xf numFmtId="0" fontId="55" fillId="0" borderId="32" applyNumberFormat="0" applyFill="0" applyAlignment="0" applyProtection="0"/>
    <xf numFmtId="0" fontId="55" fillId="0" borderId="32" applyNumberFormat="0" applyFill="0" applyAlignment="0" applyProtection="0"/>
    <xf numFmtId="0" fontId="55" fillId="0" borderId="32" applyNumberFormat="0" applyFill="0" applyAlignment="0" applyProtection="0"/>
    <xf numFmtId="0" fontId="55" fillId="0" borderId="32" applyNumberFormat="0" applyFill="0" applyAlignment="0" applyProtection="0"/>
    <xf numFmtId="0" fontId="4" fillId="0" borderId="34" applyNumberFormat="0" applyFill="0" applyProtection="0">
      <alignment horizontal="center"/>
    </xf>
    <xf numFmtId="0" fontId="4" fillId="0" borderId="34" applyNumberFormat="0" applyFill="0" applyProtection="0">
      <alignment horizontal="center"/>
    </xf>
    <xf numFmtId="0" fontId="4" fillId="0" borderId="34" applyNumberFormat="0" applyFill="0" applyProtection="0">
      <alignment horizontal="center"/>
    </xf>
    <xf numFmtId="0" fontId="4" fillId="0" borderId="34" applyNumberFormat="0" applyFill="0" applyProtection="0">
      <alignment horizontal="center"/>
    </xf>
    <xf numFmtId="0" fontId="4" fillId="0" borderId="34" applyNumberFormat="0" applyFill="0" applyProtection="0">
      <alignment horizontal="center"/>
    </xf>
    <xf numFmtId="0" fontId="58" fillId="0" borderId="34" applyNumberFormat="0" applyFill="0" applyProtection="0">
      <alignment horizontal="center"/>
    </xf>
    <xf numFmtId="0" fontId="58" fillId="0" borderId="34" applyNumberFormat="0" applyFill="0" applyProtection="0">
      <alignment horizontal="center"/>
    </xf>
    <xf numFmtId="0" fontId="4" fillId="0" borderId="34" applyNumberFormat="0" applyFill="0" applyProtection="0">
      <alignment horizontal="center"/>
    </xf>
    <xf numFmtId="0" fontId="4" fillId="0" borderId="34" applyNumberFormat="0" applyFill="0" applyProtection="0">
      <alignment horizontal="center"/>
    </xf>
    <xf numFmtId="0" fontId="4" fillId="0" borderId="34" applyNumberFormat="0" applyFill="0" applyProtection="0">
      <alignment horizontal="center"/>
    </xf>
    <xf numFmtId="0" fontId="4" fillId="0" borderId="34" applyNumberFormat="0" applyFill="0" applyProtection="0">
      <alignment horizontal="center"/>
    </xf>
    <xf numFmtId="0" fontId="4" fillId="0" borderId="34" applyNumberFormat="0" applyFill="0" applyProtection="0">
      <alignment horizontal="center"/>
    </xf>
    <xf numFmtId="0" fontId="58" fillId="0" borderId="34" applyNumberFormat="0" applyFill="0" applyProtection="0">
      <alignment horizontal="center"/>
    </xf>
    <xf numFmtId="0" fontId="4" fillId="0" borderId="34" applyNumberFormat="0" applyFill="0" applyProtection="0">
      <alignment horizontal="center"/>
    </xf>
    <xf numFmtId="0" fontId="1" fillId="0" borderId="0"/>
    <xf numFmtId="0" fontId="4" fillId="0" borderId="34" applyNumberFormat="0" applyFill="0" applyProtection="0">
      <alignment horizontal="center"/>
    </xf>
    <xf numFmtId="0" fontId="4" fillId="0" borderId="34" applyNumberFormat="0" applyFill="0" applyProtection="0">
      <alignment horizontal="center"/>
    </xf>
    <xf numFmtId="0" fontId="1" fillId="0" borderId="35" applyNumberFormat="0" applyFont="0" applyFill="0" applyAlignment="0" applyProtection="0"/>
    <xf numFmtId="0" fontId="4" fillId="0" borderId="0" applyNumberFormat="0" applyFill="0" applyBorder="0" applyProtection="0">
      <alignment horizontal="left"/>
    </xf>
    <xf numFmtId="0" fontId="4" fillId="0" borderId="0" applyNumberFormat="0" applyFill="0" applyBorder="0" applyProtection="0">
      <alignment horizontal="left"/>
    </xf>
    <xf numFmtId="0" fontId="4" fillId="0" borderId="0" applyNumberFormat="0" applyFill="0" applyBorder="0" applyProtection="0">
      <alignment horizontal="left"/>
    </xf>
    <xf numFmtId="0" fontId="4" fillId="0" borderId="0" applyNumberFormat="0" applyFill="0" applyBorder="0" applyProtection="0">
      <alignment horizontal="left"/>
    </xf>
    <xf numFmtId="0" fontId="4" fillId="0" borderId="0" applyNumberFormat="0" applyFill="0" applyBorder="0" applyProtection="0">
      <alignment horizontal="left"/>
    </xf>
    <xf numFmtId="0" fontId="4" fillId="0" borderId="0" applyNumberFormat="0" applyFill="0" applyBorder="0" applyProtection="0">
      <alignment horizontal="left"/>
    </xf>
    <xf numFmtId="0" fontId="4" fillId="0" borderId="0" applyNumberFormat="0" applyFill="0" applyBorder="0" applyProtection="0">
      <alignment horizontal="left"/>
    </xf>
    <xf numFmtId="0" fontId="4" fillId="0" borderId="0" applyNumberFormat="0" applyFill="0" applyBorder="0" applyProtection="0">
      <alignment horizontal="left"/>
    </xf>
    <xf numFmtId="0" fontId="4" fillId="0" borderId="0" applyNumberFormat="0" applyFill="0" applyBorder="0" applyProtection="0">
      <alignment horizontal="left"/>
    </xf>
    <xf numFmtId="0" fontId="1" fillId="0" borderId="0"/>
    <xf numFmtId="0" fontId="4" fillId="0" borderId="0" applyNumberFormat="0" applyFill="0" applyBorder="0" applyProtection="0">
      <alignment horizontal="left"/>
    </xf>
    <xf numFmtId="0" fontId="4" fillId="0" borderId="0" applyNumberFormat="0" applyFill="0" applyBorder="0" applyProtection="0">
      <alignment horizontal="left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60" fillId="0" borderId="0" applyNumberFormat="0" applyFill="0" applyBorder="0" applyProtection="0">
      <alignment horizontal="centerContinuous"/>
    </xf>
    <xf numFmtId="0" fontId="59" fillId="0" borderId="0" applyNumberFormat="0" applyFill="0" applyProtection="0">
      <alignment horizontal="centerContinuous"/>
    </xf>
    <xf numFmtId="0" fontId="60" fillId="0" borderId="0" applyNumberFormat="0" applyFill="0" applyBorder="0" applyProtection="0">
      <alignment horizontal="centerContinuous"/>
    </xf>
    <xf numFmtId="0" fontId="59" fillId="0" borderId="0" applyNumberFormat="0" applyFill="0" applyProtection="0">
      <alignment horizontal="centerContinuous"/>
    </xf>
    <xf numFmtId="0" fontId="59" fillId="0" borderId="0" applyNumberFormat="0" applyFill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Protection="0">
      <alignment horizontal="centerContinuous"/>
    </xf>
    <xf numFmtId="0" fontId="59" fillId="0" borderId="0" applyNumberFormat="0" applyFont="0" applyFill="0" applyBorder="0" applyAlignment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60" fillId="0" borderId="0" applyNumberFormat="0" applyFill="0" applyBorder="0" applyProtection="0">
      <alignment horizontal="centerContinuous"/>
    </xf>
    <xf numFmtId="0" fontId="59" fillId="0" borderId="0" applyNumberFormat="0" applyFill="0" applyProtection="0">
      <alignment horizontal="centerContinuous"/>
    </xf>
    <xf numFmtId="0" fontId="1" fillId="0" borderId="0"/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0" fontId="59" fillId="0" borderId="0" applyNumberFormat="0" applyFill="0" applyBorder="0" applyProtection="0">
      <alignment horizontal="centerContinuous"/>
    </xf>
    <xf numFmtId="3" fontId="40" fillId="0" borderId="0"/>
    <xf numFmtId="0" fontId="1" fillId="0" borderId="0" applyFont="0" applyFill="0" applyBorder="0" applyAlignment="0" applyProtection="0"/>
    <xf numFmtId="0" fontId="31" fillId="0" borderId="0"/>
    <xf numFmtId="0" fontId="31" fillId="0" borderId="0"/>
    <xf numFmtId="168" fontId="50" fillId="0" borderId="0" applyFont="0" applyFill="0" applyBorder="0" applyAlignment="0" applyProtection="0"/>
    <xf numFmtId="167" fontId="50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6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62" fillId="0" borderId="0"/>
    <xf numFmtId="0" fontId="61" fillId="0" borderId="0" applyFont="0" applyFill="0" applyBorder="0" applyAlignment="0" applyProtection="0"/>
    <xf numFmtId="9" fontId="1" fillId="15" borderId="0"/>
    <xf numFmtId="0" fontId="1" fillId="0" borderId="0"/>
    <xf numFmtId="0" fontId="1" fillId="0" borderId="0"/>
    <xf numFmtId="0" fontId="63" fillId="0" borderId="0"/>
    <xf numFmtId="0" fontId="50" fillId="0" borderId="0"/>
    <xf numFmtId="0" fontId="50" fillId="0" borderId="0"/>
    <xf numFmtId="9" fontId="1" fillId="0" borderId="0"/>
    <xf numFmtId="0" fontId="50" fillId="0" borderId="0"/>
    <xf numFmtId="0" fontId="63" fillId="0" borderId="0">
      <alignment horizontal="right"/>
    </xf>
    <xf numFmtId="0" fontId="63" fillId="0" borderId="0"/>
    <xf numFmtId="0" fontId="50" fillId="0" borderId="0"/>
    <xf numFmtId="2" fontId="50" fillId="0" borderId="0"/>
    <xf numFmtId="10" fontId="50" fillId="0" borderId="0"/>
    <xf numFmtId="0" fontId="31" fillId="0" borderId="0" applyFont="0" applyFill="0" applyBorder="0" applyAlignment="0" applyProtection="0">
      <alignment horizontal="right"/>
    </xf>
    <xf numFmtId="0" fontId="31" fillId="0" borderId="0" applyFont="0" applyFill="0" applyBorder="0" applyAlignment="0" applyProtection="0">
      <alignment horizontal="right"/>
    </xf>
    <xf numFmtId="38" fontId="45" fillId="0" borderId="27"/>
    <xf numFmtId="0" fontId="31" fillId="0" borderId="0">
      <alignment horizontal="left"/>
    </xf>
    <xf numFmtId="0" fontId="31" fillId="0" borderId="0">
      <alignment horizontal="left"/>
    </xf>
    <xf numFmtId="0" fontId="31" fillId="0" borderId="0"/>
    <xf numFmtId="0" fontId="62" fillId="0" borderId="0" applyFont="0" applyFill="0" applyBorder="0" applyAlignment="0" applyProtection="0"/>
    <xf numFmtId="0" fontId="62" fillId="0" borderId="0" applyFont="0" applyFill="0" applyBorder="0" applyAlignment="0" applyProtection="0"/>
    <xf numFmtId="37" fontId="64" fillId="0" borderId="0">
      <alignment horizontal="center"/>
    </xf>
    <xf numFmtId="0" fontId="65" fillId="0" borderId="0">
      <alignment horizontal="center"/>
    </xf>
    <xf numFmtId="0" fontId="54" fillId="0" borderId="0" applyFont="0" applyFill="0" applyBorder="0" applyAlignment="0" applyProtection="0"/>
    <xf numFmtId="190" fontId="51" fillId="16" borderId="0" applyFont="0" applyBorder="0"/>
    <xf numFmtId="0" fontId="66" fillId="17" borderId="0"/>
    <xf numFmtId="190" fontId="51" fillId="18" borderId="0" applyNumberFormat="0" applyFont="0" applyBorder="0" applyAlignment="0" applyProtection="0"/>
    <xf numFmtId="190" fontId="67" fillId="15" borderId="0" applyNumberFormat="0" applyFont="0" applyBorder="0" applyAlignment="0" applyProtection="0"/>
    <xf numFmtId="190" fontId="31" fillId="19" borderId="0" applyBorder="0"/>
    <xf numFmtId="190" fontId="1" fillId="0" borderId="36" applyNumberFormat="0" applyBorder="0" applyAlignment="0" applyProtection="0"/>
    <xf numFmtId="191" fontId="34" fillId="0" borderId="0" applyBorder="0">
      <alignment horizontal="right"/>
    </xf>
    <xf numFmtId="191" fontId="31" fillId="0" borderId="36" applyBorder="0">
      <alignment horizontal="right"/>
    </xf>
    <xf numFmtId="169" fontId="68" fillId="0" borderId="0" applyBorder="0">
      <alignment horizontal="right"/>
    </xf>
    <xf numFmtId="169" fontId="69" fillId="0" borderId="36" applyBorder="0">
      <alignment horizontal="right"/>
    </xf>
    <xf numFmtId="190" fontId="70" fillId="0" borderId="0">
      <alignment horizontal="left" indent="1"/>
    </xf>
    <xf numFmtId="190" fontId="71" fillId="0" borderId="37" applyBorder="0"/>
    <xf numFmtId="190" fontId="51" fillId="5" borderId="36" applyNumberFormat="0" applyFont="0" applyBorder="0" applyAlignment="0" applyProtection="0"/>
    <xf numFmtId="191" fontId="48" fillId="20" borderId="37" applyBorder="0">
      <alignment horizontal="right"/>
    </xf>
    <xf numFmtId="191" fontId="48" fillId="0" borderId="37" applyBorder="0">
      <alignment horizontal="right"/>
    </xf>
    <xf numFmtId="190" fontId="40" fillId="0" borderId="36" applyNumberFormat="0" applyBorder="0" applyAlignment="0" applyProtection="0"/>
    <xf numFmtId="0" fontId="48" fillId="16" borderId="38" applyBorder="0">
      <alignment horizontal="center"/>
    </xf>
    <xf numFmtId="0" fontId="31" fillId="0" borderId="0" applyFont="0" applyFill="0" applyBorder="0" applyAlignment="0" applyProtection="0"/>
    <xf numFmtId="192" fontId="72" fillId="0" borderId="0" applyFont="0" applyFill="0" applyBorder="0" applyAlignment="0" applyProtection="0"/>
    <xf numFmtId="193" fontId="66" fillId="0" borderId="0" applyFont="0" applyFill="0" applyBorder="0" applyAlignment="0" applyProtection="0"/>
    <xf numFmtId="0" fontId="31" fillId="21" borderId="0" applyNumberFormat="0" applyFont="0" applyBorder="0" applyAlignment="0">
      <alignment horizontal="right"/>
    </xf>
    <xf numFmtId="0" fontId="31" fillId="3" borderId="39">
      <alignment horizontal="center" vertical="center"/>
    </xf>
    <xf numFmtId="0" fontId="31" fillId="21" borderId="40" applyFont="0">
      <alignment horizontal="right"/>
    </xf>
    <xf numFmtId="0" fontId="31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1" fillId="0" borderId="0" applyFill="0" applyBorder="0" applyProtection="0">
      <protection locked="0"/>
    </xf>
    <xf numFmtId="0" fontId="49" fillId="0" borderId="0">
      <alignment horizontal="center" wrapText="1"/>
      <protection locked="0"/>
    </xf>
    <xf numFmtId="0" fontId="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1" fillId="0" borderId="41" applyNumberFormat="0" applyFill="0" applyBorder="0" applyAlignment="0" applyProtection="0"/>
    <xf numFmtId="0" fontId="73" fillId="0" borderId="41" applyNumberFormat="0" applyFill="0" applyBorder="0" applyAlignment="0" applyProtection="0"/>
    <xf numFmtId="0" fontId="74" fillId="0" borderId="41" applyNumberFormat="0" applyFill="0" applyBorder="0" applyAlignment="0" applyProtection="0"/>
    <xf numFmtId="0" fontId="31" fillId="0" borderId="41" applyNumberFormat="0" applyFill="0" applyAlignment="0" applyProtection="0"/>
    <xf numFmtId="0" fontId="75" fillId="0" borderId="0" applyNumberFormat="0" applyProtection="0"/>
    <xf numFmtId="0" fontId="76" fillId="0" borderId="42" applyNumberFormat="0" applyFill="0" applyAlignment="0" applyProtection="0"/>
    <xf numFmtId="0" fontId="54" fillId="0" borderId="30" applyNumberFormat="0" applyFont="0" applyFill="0" applyAlignment="0" applyProtection="0"/>
    <xf numFmtId="0" fontId="54" fillId="0" borderId="43" applyNumberFormat="0" applyFont="0" applyFill="0" applyAlignment="0" applyProtection="0"/>
    <xf numFmtId="0" fontId="54" fillId="0" borderId="0" applyFont="0" applyFill="0" applyBorder="0" applyAlignment="0" applyProtection="0"/>
    <xf numFmtId="0" fontId="31" fillId="0" borderId="0"/>
    <xf numFmtId="0" fontId="49" fillId="0" borderId="0" applyFont="0" applyFill="0" applyBorder="0" applyAlignment="0" applyProtection="0"/>
    <xf numFmtId="1" fontId="77" fillId="22" borderId="6" applyNumberFormat="0" applyBorder="0" applyAlignment="0">
      <alignment horizontal="center" vertical="top" wrapText="1"/>
      <protection hidden="1"/>
    </xf>
    <xf numFmtId="3" fontId="52" fillId="0" borderId="0" applyFont="0" applyBorder="0" applyAlignment="0" applyProtection="0"/>
    <xf numFmtId="194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>
      <alignment horizontal="right"/>
    </xf>
    <xf numFmtId="0" fontId="40" fillId="0" borderId="0"/>
    <xf numFmtId="0" fontId="31" fillId="23" borderId="44" applyFont="0" applyFill="0" applyBorder="0" applyAlignment="0" applyProtection="0">
      <alignment horizontal="center"/>
    </xf>
    <xf numFmtId="0" fontId="78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3" fillId="2" borderId="0" applyNumberFormat="0" applyFill="0" applyBorder="0" applyAlignment="0" applyProtection="0">
      <protection locked="0"/>
    </xf>
    <xf numFmtId="0" fontId="31" fillId="0" borderId="0" applyNumberFormat="0" applyFont="0" applyAlignment="0"/>
    <xf numFmtId="0" fontId="45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79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95" fontId="31" fillId="0" borderId="0" applyFont="0" applyFill="0" applyBorder="0" applyAlignment="0" applyProtection="0"/>
    <xf numFmtId="196" fontId="45" fillId="0" borderId="0" applyFont="0" applyFill="0" applyBorder="0" applyAlignment="0" applyProtection="0"/>
    <xf numFmtId="0" fontId="80" fillId="0" borderId="0" applyNumberFormat="0" applyFill="0" applyBorder="0" applyAlignment="0"/>
    <xf numFmtId="0" fontId="81" fillId="24" borderId="45" applyFill="0" applyBorder="0" applyProtection="0">
      <alignment horizontal="left"/>
    </xf>
    <xf numFmtId="0" fontId="82" fillId="0" borderId="0" applyNumberFormat="0" applyFill="0" applyBorder="0" applyAlignment="0" applyProtection="0"/>
    <xf numFmtId="1" fontId="83" fillId="17" borderId="46">
      <alignment horizontal="center"/>
    </xf>
    <xf numFmtId="0" fontId="84" fillId="0" borderId="0"/>
    <xf numFmtId="0" fontId="83" fillId="17" borderId="47">
      <alignment horizontal="center"/>
    </xf>
    <xf numFmtId="176" fontId="85" fillId="0" borderId="0">
      <alignment horizontal="right"/>
      <protection locked="0"/>
    </xf>
    <xf numFmtId="0" fontId="86" fillId="0" borderId="0" applyNumberFormat="0" applyFill="0" applyBorder="0" applyAlignment="0" applyProtection="0"/>
    <xf numFmtId="0" fontId="54" fillId="0" borderId="0" applyBorder="0" applyProtection="0"/>
    <xf numFmtId="0" fontId="1" fillId="0" borderId="0"/>
    <xf numFmtId="0" fontId="42" fillId="0" borderId="0" applyNumberFormat="0" applyFill="0" applyBorder="0" applyAlignment="0" applyProtection="0"/>
    <xf numFmtId="37" fontId="87" fillId="0" borderId="0"/>
    <xf numFmtId="0" fontId="88" fillId="0" borderId="30" applyNumberFormat="0" applyFill="0" applyAlignment="0" applyProtection="0"/>
    <xf numFmtId="0" fontId="1" fillId="2" borderId="5" applyNumberFormat="0" applyFill="0" applyBorder="0" applyAlignment="0" applyProtection="0">
      <protection locked="0"/>
    </xf>
    <xf numFmtId="175" fontId="36" fillId="0" borderId="37" applyAlignment="0" applyProtection="0"/>
    <xf numFmtId="0" fontId="49" fillId="0" borderId="31" applyNumberFormat="0" applyFont="0" applyFill="0" applyAlignment="0" applyProtection="0"/>
    <xf numFmtId="0" fontId="49" fillId="0" borderId="48" applyNumberFormat="0" applyFont="0" applyFill="0" applyAlignment="0" applyProtection="0"/>
    <xf numFmtId="0" fontId="35" fillId="0" borderId="30" applyNumberFormat="0" applyFont="0" applyFill="0" applyAlignment="0" applyProtection="0"/>
    <xf numFmtId="0" fontId="35" fillId="0" borderId="6" applyNumberFormat="0" applyFont="0" applyFill="0" applyAlignment="0" applyProtection="0"/>
    <xf numFmtId="0" fontId="35" fillId="0" borderId="5" applyNumberFormat="0" applyFont="0" applyFill="0" applyAlignment="0" applyProtection="0"/>
    <xf numFmtId="0" fontId="35" fillId="0" borderId="37" applyNumberFormat="0" applyFont="0" applyFill="0" applyAlignment="0" applyProtection="0"/>
    <xf numFmtId="37" fontId="89" fillId="0" borderId="40">
      <alignment horizontal="right" vertical="center"/>
    </xf>
    <xf numFmtId="37" fontId="87" fillId="0" borderId="40">
      <alignment horizontal="right" vertical="center"/>
    </xf>
    <xf numFmtId="197" fontId="54" fillId="0" borderId="31" applyNumberFormat="0" applyFont="0" applyFill="0" applyAlignment="0" applyProtection="0">
      <alignment horizontal="center"/>
    </xf>
    <xf numFmtId="0" fontId="1" fillId="0" borderId="49" applyFill="0" applyProtection="0">
      <alignment horizontal="right"/>
    </xf>
    <xf numFmtId="187" fontId="31" fillId="0" borderId="30" applyFill="0" applyAlignment="0" applyProtection="0">
      <alignment horizontal="center"/>
    </xf>
    <xf numFmtId="198" fontId="1" fillId="0" borderId="0" applyFont="0" applyFill="0" applyBorder="0" applyAlignment="0" applyProtection="0"/>
    <xf numFmtId="199" fontId="90" fillId="0" borderId="0" applyFill="0" applyBorder="0" applyAlignment="0" applyProtection="0"/>
    <xf numFmtId="0" fontId="31" fillId="0" borderId="0" applyFont="0" applyFill="0" applyBorder="0" applyProtection="0">
      <alignment horizontal="left"/>
    </xf>
    <xf numFmtId="0" fontId="31" fillId="0" borderId="0" applyFont="0" applyFill="0" applyBorder="0" applyProtection="0">
      <alignment horizontal="left"/>
    </xf>
    <xf numFmtId="0" fontId="31" fillId="0" borderId="0" applyFont="0" applyFill="0" applyBorder="0" applyProtection="0">
      <alignment horizontal="left"/>
    </xf>
    <xf numFmtId="0" fontId="61" fillId="0" borderId="0" applyFont="0" applyFill="0" applyBorder="0" applyAlignment="0" applyProtection="0"/>
    <xf numFmtId="0" fontId="91" fillId="0" borderId="0" applyNumberFormat="0" applyFill="0" applyBorder="0" applyAlignment="0" applyProtection="0"/>
    <xf numFmtId="0" fontId="1" fillId="0" borderId="0"/>
    <xf numFmtId="0" fontId="92" fillId="0" borderId="0"/>
    <xf numFmtId="0" fontId="42" fillId="0" borderId="31">
      <alignment horizontal="center"/>
    </xf>
    <xf numFmtId="0" fontId="1" fillId="0" borderId="0"/>
    <xf numFmtId="0" fontId="31" fillId="0" borderId="0"/>
    <xf numFmtId="0" fontId="45" fillId="0" borderId="0" applyFont="0" applyFill="0" applyBorder="0" applyAlignment="0" applyProtection="0"/>
    <xf numFmtId="0" fontId="31" fillId="0" borderId="0"/>
    <xf numFmtId="2" fontId="31" fillId="25" borderId="0" applyNumberFormat="0" applyFont="0" applyBorder="0" applyAlignment="0" applyProtection="0"/>
    <xf numFmtId="0" fontId="35" fillId="0" borderId="0" applyFill="0" applyBorder="0" applyAlignment="0"/>
    <xf numFmtId="0" fontId="1" fillId="0" borderId="0" applyFill="0" applyBorder="0" applyAlignment="0"/>
    <xf numFmtId="0" fontId="1" fillId="0" borderId="0" applyFill="0" applyBorder="0" applyAlignment="0"/>
    <xf numFmtId="0" fontId="1" fillId="0" borderId="0" applyFill="0" applyBorder="0" applyAlignment="0"/>
    <xf numFmtId="0" fontId="1" fillId="0" borderId="0" applyFill="0" applyBorder="0" applyAlignment="0"/>
    <xf numFmtId="0" fontId="93" fillId="0" borderId="0" applyFill="0" applyBorder="0" applyAlignment="0"/>
    <xf numFmtId="0" fontId="93" fillId="0" borderId="0" applyFill="0" applyBorder="0" applyAlignment="0"/>
    <xf numFmtId="0" fontId="1" fillId="0" borderId="0" applyFill="0" applyBorder="0" applyAlignment="0"/>
    <xf numFmtId="0" fontId="94" fillId="0" borderId="0"/>
    <xf numFmtId="0" fontId="31" fillId="0" borderId="0"/>
    <xf numFmtId="0" fontId="31" fillId="0" borderId="0">
      <alignment horizontal="left"/>
    </xf>
    <xf numFmtId="200" fontId="49" fillId="26" borderId="0" applyNumberFormat="0" applyFont="0" applyBorder="0" applyAlignment="0"/>
    <xf numFmtId="0" fontId="49" fillId="0" borderId="0" applyFill="0" applyBorder="0" applyProtection="0"/>
    <xf numFmtId="0" fontId="1" fillId="0" borderId="0" applyFont="0" applyFill="0" applyBorder="0" applyAlignment="0" applyProtection="0"/>
    <xf numFmtId="0" fontId="95" fillId="0" borderId="0"/>
    <xf numFmtId="0" fontId="96" fillId="24" borderId="9"/>
    <xf numFmtId="0" fontId="45" fillId="0" borderId="0"/>
    <xf numFmtId="0" fontId="88" fillId="0" borderId="30" applyNumberFormat="0" applyFont="0" applyFill="0" applyProtection="0">
      <alignment horizontal="centerContinuous" vertical="center"/>
    </xf>
    <xf numFmtId="0" fontId="71" fillId="0" borderId="0" applyFill="0" applyBorder="0" applyProtection="0">
      <alignment horizontal="center"/>
      <protection locked="0"/>
    </xf>
    <xf numFmtId="168" fontId="1" fillId="0" borderId="35" applyFont="0" applyFill="0" applyBorder="0" applyProtection="0">
      <alignment horizontal="right"/>
    </xf>
    <xf numFmtId="0" fontId="97" fillId="0" borderId="0">
      <alignment horizontal="center" wrapText="1"/>
    </xf>
    <xf numFmtId="1" fontId="98" fillId="0" borderId="0"/>
    <xf numFmtId="0" fontId="54" fillId="0" borderId="28" applyFont="0" applyFill="0" applyAlignment="0" applyProtection="0"/>
    <xf numFmtId="3" fontId="35" fillId="0" borderId="0"/>
    <xf numFmtId="0" fontId="99" fillId="0" borderId="0" applyProtection="0"/>
    <xf numFmtId="0" fontId="31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01" fillId="0" borderId="30" applyNumberFormat="0" applyFill="0" applyBorder="0" applyAlignment="0" applyProtection="0">
      <alignment horizontal="center"/>
    </xf>
    <xf numFmtId="0" fontId="102" fillId="0" borderId="30" applyNumberFormat="0" applyFill="0" applyProtection="0">
      <alignment horizontal="left" vertical="center"/>
    </xf>
    <xf numFmtId="0" fontId="1" fillId="0" borderId="0">
      <alignment horizontal="center" wrapText="1"/>
      <protection hidden="1"/>
    </xf>
    <xf numFmtId="0" fontId="39" fillId="0" borderId="30" applyNumberFormat="0" applyFill="0" applyBorder="0" applyProtection="0">
      <alignment horizontal="left" vertical="center"/>
    </xf>
    <xf numFmtId="0" fontId="39" fillId="0" borderId="30" applyNumberFormat="0" applyFill="0" applyBorder="0" applyProtection="0">
      <alignment horizontal="right" vertical="center"/>
    </xf>
    <xf numFmtId="0" fontId="103" fillId="0" borderId="0" applyNumberFormat="0" applyFill="0" applyBorder="0" applyAlignment="0" applyProtection="0">
      <alignment vertical="top"/>
      <protection locked="0"/>
    </xf>
    <xf numFmtId="0" fontId="81" fillId="27" borderId="9" applyNumberFormat="0" applyBorder="0" applyProtection="0">
      <alignment horizontal="center" vertical="center" wrapText="1"/>
    </xf>
    <xf numFmtId="0" fontId="31" fillId="0" borderId="0" applyFill="0" applyBorder="0" applyProtection="0">
      <alignment horizontal="center"/>
    </xf>
    <xf numFmtId="0" fontId="73" fillId="0" borderId="0" applyNumberFormat="0" applyFill="0" applyBorder="0" applyProtection="0">
      <alignment wrapText="1"/>
    </xf>
    <xf numFmtId="0" fontId="97" fillId="0" borderId="0" applyNumberFormat="0" applyFill="0" applyBorder="0" applyProtection="0">
      <alignment wrapText="1"/>
    </xf>
    <xf numFmtId="0" fontId="73" fillId="0" borderId="0" applyBorder="0">
      <alignment horizontal="right"/>
    </xf>
    <xf numFmtId="0" fontId="73" fillId="0" borderId="31" applyAlignment="0">
      <alignment horizontal="right"/>
    </xf>
    <xf numFmtId="0" fontId="66" fillId="0" borderId="0">
      <alignment horizontal="right"/>
    </xf>
    <xf numFmtId="0" fontId="45" fillId="0" borderId="0"/>
    <xf numFmtId="0" fontId="104" fillId="0" borderId="0"/>
    <xf numFmtId="0" fontId="104" fillId="0" borderId="0"/>
    <xf numFmtId="0" fontId="104" fillId="0" borderId="0"/>
    <xf numFmtId="0" fontId="104" fillId="0" borderId="0"/>
    <xf numFmtId="0" fontId="104" fillId="0" borderId="0"/>
    <xf numFmtId="0" fontId="104" fillId="0" borderId="0"/>
    <xf numFmtId="0" fontId="104" fillId="0" borderId="0"/>
    <xf numFmtId="0" fontId="104" fillId="0" borderId="0"/>
    <xf numFmtId="178" fontId="97" fillId="0" borderId="37"/>
    <xf numFmtId="0" fontId="93" fillId="0" borderId="0" applyFont="0" applyFill="0" applyBorder="0" applyAlignment="0" applyProtection="0"/>
    <xf numFmtId="201" fontId="42" fillId="0" borderId="0" applyFont="0" applyFill="0" applyBorder="0" applyAlignment="0" applyProtection="0"/>
    <xf numFmtId="202" fontId="97" fillId="0" borderId="37"/>
    <xf numFmtId="202" fontId="105" fillId="0" borderId="0" applyFont="0" applyFill="0" applyBorder="0" applyAlignment="0" applyProtection="0"/>
    <xf numFmtId="39" fontId="45" fillId="0" borderId="0" applyFont="0" applyFill="0" applyBorder="0" applyAlignment="0" applyProtection="0"/>
    <xf numFmtId="0" fontId="31" fillId="0" borderId="37"/>
    <xf numFmtId="38" fontId="66" fillId="0" borderId="0"/>
    <xf numFmtId="0" fontId="45" fillId="0" borderId="0" applyFont="0" applyFill="0" applyBorder="0" applyAlignment="0" applyProtection="0"/>
    <xf numFmtId="0" fontId="54" fillId="0" borderId="0" applyFont="0" applyFill="0" applyBorder="0" applyAlignment="0" applyProtection="0">
      <alignment horizontal="right"/>
    </xf>
    <xf numFmtId="0" fontId="54" fillId="0" borderId="0" applyFont="0" applyFill="0" applyBorder="0" applyAlignment="0" applyProtection="0"/>
    <xf numFmtId="180" fontId="1" fillId="0" borderId="0" applyFont="0" applyFill="0" applyBorder="0" applyAlignment="0" applyProtection="0"/>
    <xf numFmtId="203" fontId="54" fillId="0" borderId="0" applyFont="0" applyFill="0" applyBorder="0" applyAlignment="0" applyProtection="0"/>
    <xf numFmtId="204" fontId="106" fillId="0" borderId="0"/>
    <xf numFmtId="0" fontId="54" fillId="0" borderId="0" applyFont="0" applyFill="0" applyBorder="0" applyAlignment="0" applyProtection="0"/>
    <xf numFmtId="180" fontId="1" fillId="0" borderId="0" applyFont="0" applyFill="0" applyBorder="0" applyAlignment="0" applyProtection="0"/>
    <xf numFmtId="40" fontId="1" fillId="0" borderId="0" applyFont="0" applyFill="0" applyBorder="0" applyProtection="0">
      <alignment horizontal="right"/>
    </xf>
    <xf numFmtId="0" fontId="31" fillId="0" borderId="0"/>
    <xf numFmtId="205" fontId="54" fillId="0" borderId="0" applyFont="0" applyFill="0" applyBorder="0" applyAlignment="0" applyProtection="0"/>
    <xf numFmtId="0" fontId="31" fillId="0" borderId="0"/>
    <xf numFmtId="3" fontId="107" fillId="0" borderId="0" applyFont="0" applyFill="0" applyBorder="0" applyAlignment="0" applyProtection="0"/>
    <xf numFmtId="0" fontId="108" fillId="0" borderId="0"/>
    <xf numFmtId="0" fontId="104" fillId="0" borderId="0"/>
    <xf numFmtId="0" fontId="104" fillId="0" borderId="0" applyFill="0" applyBorder="0" applyAlignment="0" applyProtection="0"/>
    <xf numFmtId="0" fontId="35" fillId="0" borderId="0" applyFont="0" applyFill="0" applyBorder="0" applyAlignment="0" applyProtection="0"/>
    <xf numFmtId="0" fontId="108" fillId="0" borderId="0"/>
    <xf numFmtId="0" fontId="104" fillId="0" borderId="0"/>
    <xf numFmtId="4" fontId="109" fillId="0" borderId="9" applyFont="0" applyFill="0" applyBorder="0" applyAlignment="0" applyProtection="0"/>
    <xf numFmtId="0" fontId="3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5" fillId="0" borderId="0">
      <alignment horizontal="right"/>
    </xf>
    <xf numFmtId="0" fontId="110" fillId="0" borderId="0"/>
    <xf numFmtId="0" fontId="111" fillId="28" borderId="0">
      <alignment horizontal="center" vertical="center" wrapText="1"/>
    </xf>
    <xf numFmtId="0" fontId="112" fillId="0" borderId="0" applyFill="0" applyBorder="0" applyAlignment="0" applyProtection="0">
      <protection locked="0"/>
    </xf>
    <xf numFmtId="0" fontId="99" fillId="0" borderId="0" applyFill="0" applyBorder="0">
      <alignment horizontal="left"/>
    </xf>
    <xf numFmtId="0" fontId="113" fillId="0" borderId="0" applyNumberFormat="0" applyAlignment="0">
      <alignment horizontal="left"/>
    </xf>
    <xf numFmtId="0" fontId="54" fillId="0" borderId="50" applyFont="0" applyFill="0" applyBorder="0" applyAlignment="0" applyProtection="0"/>
    <xf numFmtId="0" fontId="114" fillId="0" borderId="0">
      <alignment horizontal="left"/>
    </xf>
    <xf numFmtId="0" fontId="115" fillId="0" borderId="0"/>
    <xf numFmtId="0" fontId="116" fillId="0" borderId="0">
      <alignment horizontal="left"/>
    </xf>
    <xf numFmtId="0" fontId="31" fillId="1" borderId="0" applyFont="0" applyFill="0" applyBorder="0" applyAlignment="0" applyProtection="0">
      <alignment horizontal="right"/>
    </xf>
    <xf numFmtId="0" fontId="54" fillId="0" borderId="30"/>
    <xf numFmtId="167" fontId="50" fillId="0" borderId="0" applyFont="0" applyFill="0" applyBorder="0" applyAlignment="0" applyProtection="0"/>
    <xf numFmtId="0" fontId="45" fillId="0" borderId="0" applyFill="0" applyBorder="0">
      <alignment horizontal="right"/>
      <protection locked="0"/>
    </xf>
    <xf numFmtId="0" fontId="49" fillId="0" borderId="0" applyFont="0" applyFill="0" applyBorder="0" applyAlignment="0" applyProtection="0">
      <protection locked="0"/>
    </xf>
    <xf numFmtId="0" fontId="49" fillId="0" borderId="0" applyFont="0" applyFill="0" applyBorder="0" applyAlignment="0" applyProtection="0">
      <protection locked="0"/>
    </xf>
    <xf numFmtId="0" fontId="31" fillId="0" borderId="0" applyFont="0" applyFill="0" applyBorder="0" applyAlignment="0" applyProtection="0"/>
    <xf numFmtId="0" fontId="97" fillId="0" borderId="37"/>
    <xf numFmtId="0" fontId="1" fillId="0" borderId="0" applyFont="0" applyFill="0" applyBorder="0" applyAlignment="0" applyProtection="0"/>
    <xf numFmtId="0" fontId="117" fillId="0" borderId="0" applyFont="0" applyFill="0" applyBorder="0" applyAlignment="0" applyProtection="0"/>
    <xf numFmtId="0" fontId="97" fillId="0" borderId="37"/>
    <xf numFmtId="0" fontId="118" fillId="0" borderId="0" applyFont="0" applyFill="0" applyBorder="0" applyAlignment="0" applyProtection="0"/>
    <xf numFmtId="168" fontId="119" fillId="0" borderId="51">
      <protection locked="0"/>
    </xf>
    <xf numFmtId="179" fontId="97" fillId="0" borderId="37"/>
    <xf numFmtId="168" fontId="119" fillId="0" borderId="51">
      <protection locked="0"/>
    </xf>
    <xf numFmtId="0" fontId="45" fillId="0" borderId="0" applyFont="0" applyFill="0" applyBorder="0" applyAlignment="0" applyProtection="0"/>
    <xf numFmtId="176" fontId="1" fillId="0" borderId="0"/>
    <xf numFmtId="0" fontId="54" fillId="0" borderId="0" applyFont="0" applyFill="0" applyBorder="0" applyAlignment="0" applyProtection="0">
      <alignment horizontal="right"/>
    </xf>
    <xf numFmtId="0" fontId="63" fillId="0" borderId="11" applyBorder="0"/>
    <xf numFmtId="206" fontId="54" fillId="0" borderId="0"/>
    <xf numFmtId="0" fontId="54" fillId="0" borderId="0" applyFont="0" applyFill="0" applyBorder="0" applyAlignment="0" applyProtection="0">
      <alignment horizontal="right"/>
    </xf>
    <xf numFmtId="176" fontId="97" fillId="0" borderId="37"/>
    <xf numFmtId="207" fontId="120" fillId="0" borderId="0" applyFont="0" applyFill="0" applyBorder="0" applyAlignment="0" applyProtection="0"/>
    <xf numFmtId="208" fontId="54" fillId="0" borderId="0" applyFont="0" applyFill="0" applyBorder="0" applyAlignment="0" applyProtection="0">
      <alignment horizontal="right"/>
    </xf>
    <xf numFmtId="0" fontId="120" fillId="0" borderId="0" applyFont="0" applyFill="0" applyBorder="0" applyAlignment="0" applyProtection="0"/>
    <xf numFmtId="168" fontId="41" fillId="16" borderId="29">
      <alignment horizontal="right"/>
    </xf>
    <xf numFmtId="209" fontId="54" fillId="0" borderId="0" applyFont="0" applyFill="0" applyBorder="0" applyAlignment="0" applyProtection="0"/>
    <xf numFmtId="0" fontId="107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105" fillId="0" borderId="0"/>
    <xf numFmtId="0" fontId="54" fillId="0" borderId="0" applyFill="0" applyBorder="0" applyProtection="0">
      <alignment vertical="center"/>
    </xf>
    <xf numFmtId="0" fontId="35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54" fillId="0" borderId="0"/>
    <xf numFmtId="176" fontId="63" fillId="0" borderId="0" applyFill="0" applyBorder="0">
      <alignment horizontal="right"/>
    </xf>
    <xf numFmtId="0" fontId="54" fillId="2" borderId="0" applyFont="0" applyFill="0" applyBorder="0" applyAlignment="0" applyProtection="0">
      <alignment vertical="center"/>
      <protection locked="0"/>
    </xf>
    <xf numFmtId="0" fontId="54" fillId="2" borderId="0" applyFont="0" applyFill="0" applyBorder="0" applyAlignment="0" applyProtection="0">
      <alignment vertical="center"/>
      <protection locked="0"/>
    </xf>
    <xf numFmtId="0" fontId="121" fillId="2" borderId="0" applyFont="0" applyFill="0" applyBorder="0" applyAlignment="0" applyProtection="0">
      <alignment vertical="center"/>
      <protection locked="0"/>
    </xf>
    <xf numFmtId="0" fontId="54" fillId="2" borderId="0" applyFont="0" applyFill="0" applyBorder="0" applyAlignment="0" applyProtection="0">
      <alignment vertical="center"/>
      <protection locked="0"/>
    </xf>
    <xf numFmtId="0" fontId="54" fillId="2" borderId="0" applyFont="0" applyFill="0" applyBorder="0" applyAlignment="0" applyProtection="0">
      <alignment vertical="center"/>
      <protection locked="0"/>
    </xf>
    <xf numFmtId="0" fontId="31" fillId="16" borderId="5">
      <alignment horizontal="right"/>
    </xf>
    <xf numFmtId="0" fontId="31" fillId="16" borderId="5">
      <alignment horizontal="right"/>
    </xf>
    <xf numFmtId="0" fontId="31" fillId="16" borderId="5">
      <alignment horizontal="right"/>
    </xf>
    <xf numFmtId="0" fontId="31" fillId="16" borderId="5">
      <alignment horizontal="right"/>
    </xf>
    <xf numFmtId="0" fontId="61" fillId="0" borderId="0" applyFont="0" applyFill="0" applyBorder="0" applyAlignment="0" applyProtection="0"/>
    <xf numFmtId="0" fontId="54" fillId="0" borderId="0" applyNumberFormat="0">
      <alignment horizontal="right"/>
    </xf>
    <xf numFmtId="168" fontId="122" fillId="0" borderId="0" applyNumberFormat="0" applyFill="0" applyBorder="0" applyAlignment="0"/>
    <xf numFmtId="14" fontId="85" fillId="29" borderId="1"/>
    <xf numFmtId="200" fontId="49" fillId="0" borderId="0" applyFont="0" applyFill="0" applyBorder="0" applyProtection="0">
      <alignment horizontal="right"/>
    </xf>
    <xf numFmtId="0" fontId="31" fillId="0" borderId="0" applyFont="0" applyFill="0" applyBorder="0" applyAlignment="0" applyProtection="0"/>
    <xf numFmtId="15" fontId="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Protection="0"/>
    <xf numFmtId="0" fontId="31" fillId="0" borderId="0" applyFont="0" applyFill="0" applyBorder="0" applyAlignment="0" applyProtection="0"/>
    <xf numFmtId="0" fontId="31" fillId="0" borderId="0" applyFont="0" applyFill="0" applyBorder="0" applyProtection="0"/>
    <xf numFmtId="0" fontId="31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17" fontId="1" fillId="0" borderId="0" applyFill="0" applyBorder="0">
      <alignment horizontal="right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14" fontId="1" fillId="0" borderId="0" applyFill="0" applyBorder="0" applyProtection="0">
      <alignment horizontal="center"/>
    </xf>
    <xf numFmtId="14" fontId="9" fillId="0" borderId="0" applyFill="0" applyBorder="0" applyAlignment="0"/>
    <xf numFmtId="0" fontId="54" fillId="0" borderId="0" applyFill="0" applyBorder="0" applyProtection="0">
      <alignment horizontal="center"/>
    </xf>
    <xf numFmtId="15" fontId="63" fillId="0" borderId="0" applyFont="0" applyFill="0" applyBorder="0" applyAlignment="0" applyProtection="0">
      <protection locked="0"/>
    </xf>
    <xf numFmtId="14" fontId="103" fillId="0" borderId="0">
      <alignment horizontal="right"/>
      <protection locked="0"/>
    </xf>
    <xf numFmtId="0" fontId="31" fillId="0" borderId="9" applyFont="0" applyFill="0" applyBorder="0" applyAlignment="0" applyProtection="0">
      <alignment horizontal="right"/>
    </xf>
    <xf numFmtId="14" fontId="42" fillId="0" borderId="0" applyFont="0" applyFill="0" applyBorder="0" applyAlignment="0" applyProtection="0"/>
    <xf numFmtId="14" fontId="1" fillId="0" borderId="0" applyFont="0" applyFill="0" applyBorder="0" applyAlignment="0" applyProtection="0">
      <alignment horizontal="center"/>
    </xf>
    <xf numFmtId="0" fontId="54" fillId="0" borderId="0" applyFont="0" applyFill="0" applyBorder="0" applyAlignment="0" applyProtection="0">
      <alignment horizontal="center"/>
    </xf>
    <xf numFmtId="210" fontId="54" fillId="0" borderId="37" applyFont="0" applyFill="0" applyBorder="0" applyAlignment="0" applyProtection="0">
      <alignment horizontal="center"/>
    </xf>
    <xf numFmtId="0" fontId="54" fillId="0" borderId="37" applyFont="0" applyFill="0" applyBorder="0" applyAlignment="0" applyProtection="0">
      <alignment horizontal="center"/>
    </xf>
    <xf numFmtId="0" fontId="42" fillId="0" borderId="0"/>
    <xf numFmtId="0" fontId="42" fillId="0" borderId="0"/>
    <xf numFmtId="177" fontId="123" fillId="0" borderId="0"/>
    <xf numFmtId="0" fontId="123" fillId="0" borderId="0"/>
    <xf numFmtId="14" fontId="61" fillId="0" borderId="30" applyBorder="0" applyAlignment="0">
      <alignment horizontal="center"/>
    </xf>
    <xf numFmtId="0" fontId="49" fillId="0" borderId="0"/>
    <xf numFmtId="0" fontId="40" fillId="0" borderId="0"/>
    <xf numFmtId="37" fontId="89" fillId="0" borderId="0"/>
    <xf numFmtId="0" fontId="31" fillId="0" borderId="0" applyFont="0" applyFill="0" applyBorder="0" applyAlignment="0" applyProtection="0"/>
    <xf numFmtId="180" fontId="1" fillId="0" borderId="0" applyFont="0" applyFill="0" applyBorder="0" applyAlignment="0" applyProtection="0"/>
    <xf numFmtId="0" fontId="124" fillId="0" borderId="0">
      <protection locked="0"/>
    </xf>
    <xf numFmtId="178" fontId="51" fillId="0" borderId="0"/>
    <xf numFmtId="0" fontId="49" fillId="0" borderId="0" applyProtection="0"/>
    <xf numFmtId="38" fontId="49" fillId="0" borderId="0" applyNumberFormat="0"/>
    <xf numFmtId="0" fontId="49" fillId="0" borderId="0" applyProtection="0"/>
    <xf numFmtId="168" fontId="49" fillId="0" borderId="0" applyFont="0" applyFill="0" applyBorder="0" applyAlignment="0" applyProtection="0"/>
    <xf numFmtId="0" fontId="104" fillId="0" borderId="0"/>
    <xf numFmtId="0" fontId="125" fillId="0" borderId="0" applyFill="0" applyBorder="0" applyProtection="0"/>
    <xf numFmtId="0" fontId="31" fillId="0" borderId="0"/>
    <xf numFmtId="167" fontId="49" fillId="0" borderId="0" applyFill="0" applyBorder="0" applyProtection="0"/>
    <xf numFmtId="0" fontId="63" fillId="0" borderId="0" applyBorder="0" applyProtection="0"/>
    <xf numFmtId="211" fontId="49" fillId="0" borderId="0"/>
    <xf numFmtId="211" fontId="105" fillId="0" borderId="0">
      <protection locked="0"/>
    </xf>
    <xf numFmtId="176" fontId="49" fillId="0" borderId="0"/>
    <xf numFmtId="177" fontId="45" fillId="0" borderId="0"/>
    <xf numFmtId="212" fontId="42" fillId="0" borderId="0" applyFont="0" applyFill="0" applyBorder="0" applyAlignment="0" applyProtection="0"/>
    <xf numFmtId="167" fontId="49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54" fillId="0" borderId="43" applyNumberFormat="0" applyFont="0" applyFill="0" applyAlignment="0" applyProtection="0"/>
    <xf numFmtId="177" fontId="126" fillId="0" borderId="0" applyFill="0" applyBorder="0" applyAlignment="0" applyProtection="0"/>
    <xf numFmtId="0" fontId="31" fillId="0" borderId="28" applyNumberFormat="0" applyFill="0" applyAlignment="0" applyProtection="0"/>
    <xf numFmtId="0" fontId="72" fillId="0" borderId="37" applyNumberFormat="0" applyBorder="0"/>
    <xf numFmtId="0" fontId="55" fillId="2" borderId="0">
      <alignment horizontal="right" vertical="center"/>
    </xf>
    <xf numFmtId="0" fontId="127" fillId="0" borderId="52" applyNumberFormat="0" applyAlignment="0" applyProtection="0">
      <alignment vertical="top"/>
    </xf>
    <xf numFmtId="0" fontId="1" fillId="0" borderId="0">
      <protection locked="0"/>
    </xf>
    <xf numFmtId="0" fontId="1" fillId="0" borderId="0">
      <protection locked="0"/>
    </xf>
    <xf numFmtId="0" fontId="93" fillId="0" borderId="0" applyFill="0" applyBorder="0" applyAlignment="0"/>
    <xf numFmtId="0" fontId="1" fillId="0" borderId="0" applyFill="0" applyBorder="0" applyAlignment="0"/>
    <xf numFmtId="0" fontId="93" fillId="0" borderId="0" applyFill="0" applyBorder="0" applyAlignment="0"/>
    <xf numFmtId="0" fontId="93" fillId="0" borderId="0" applyFill="0" applyBorder="0" applyAlignment="0"/>
    <xf numFmtId="0" fontId="1" fillId="0" borderId="0" applyFill="0" applyBorder="0" applyAlignment="0"/>
    <xf numFmtId="0" fontId="128" fillId="0" borderId="0" applyNumberFormat="0" applyAlignment="0">
      <alignment horizontal="left"/>
    </xf>
    <xf numFmtId="9" fontId="129" fillId="0" borderId="9" applyNumberFormat="0" applyBorder="0" applyAlignment="0">
      <protection locked="0"/>
    </xf>
    <xf numFmtId="0" fontId="31" fillId="30" borderId="0"/>
    <xf numFmtId="0" fontId="31" fillId="30" borderId="0"/>
    <xf numFmtId="0" fontId="31" fillId="30" borderId="0"/>
    <xf numFmtId="0" fontId="31" fillId="0" borderId="0"/>
    <xf numFmtId="0" fontId="31" fillId="30" borderId="0"/>
    <xf numFmtId="0" fontId="31" fillId="0" borderId="0" applyFont="0" applyFill="0" applyBorder="0" applyProtection="0">
      <alignment horizontal="left"/>
      <protection locked="0"/>
    </xf>
    <xf numFmtId="0" fontId="31" fillId="0" borderId="0"/>
    <xf numFmtId="0" fontId="31" fillId="0" borderId="0" applyFont="0" applyFill="0" applyBorder="0" applyProtection="0">
      <alignment horizontal="left"/>
      <protection locked="0"/>
    </xf>
    <xf numFmtId="168" fontId="130" fillId="0" borderId="0"/>
    <xf numFmtId="0" fontId="130" fillId="0" borderId="0"/>
    <xf numFmtId="0" fontId="130" fillId="0" borderId="0"/>
    <xf numFmtId="2" fontId="131" fillId="0" borderId="0"/>
    <xf numFmtId="213" fontId="37" fillId="0" borderId="0" applyFont="0" applyFill="0" applyBorder="0" applyAlignment="0" applyProtection="0"/>
    <xf numFmtId="214" fontId="132" fillId="0" borderId="0" applyFont="0" applyFill="0" applyBorder="0" applyAlignment="0" applyProtection="0"/>
    <xf numFmtId="0" fontId="31" fillId="31" borderId="37" applyNumberFormat="0" applyFont="0" applyBorder="0" applyAlignment="0" applyProtection="0">
      <alignment horizontal="right"/>
    </xf>
    <xf numFmtId="0" fontId="66" fillId="0" borderId="0" applyFill="0" applyBorder="0">
      <alignment horizontal="right" vertical="top"/>
    </xf>
    <xf numFmtId="0" fontId="124" fillId="0" borderId="0">
      <protection locked="0"/>
    </xf>
    <xf numFmtId="0" fontId="124" fillId="0" borderId="0">
      <protection locked="0"/>
    </xf>
    <xf numFmtId="0" fontId="124" fillId="0" borderId="0">
      <protection locked="0"/>
    </xf>
    <xf numFmtId="0" fontId="124" fillId="0" borderId="0">
      <protection locked="0"/>
    </xf>
    <xf numFmtId="0" fontId="124" fillId="0" borderId="0">
      <protection locked="0"/>
    </xf>
    <xf numFmtId="0" fontId="124" fillId="0" borderId="0">
      <protection locked="0"/>
    </xf>
    <xf numFmtId="0" fontId="124" fillId="0" borderId="0">
      <protection locked="0"/>
    </xf>
    <xf numFmtId="3" fontId="133" fillId="0" borderId="0" applyNumberFormat="0" applyFont="0" applyFill="0" applyBorder="0" applyAlignment="0" applyProtection="0">
      <alignment horizontal="left"/>
    </xf>
    <xf numFmtId="1" fontId="134" fillId="32" borderId="45" applyNumberFormat="0" applyBorder="0" applyAlignment="0">
      <alignment horizontal="centerContinuous" vertical="center"/>
      <protection locked="0"/>
    </xf>
    <xf numFmtId="0" fontId="124" fillId="0" borderId="0">
      <protection locked="0"/>
    </xf>
    <xf numFmtId="3" fontId="1" fillId="0" borderId="0" applyFont="0" applyFill="0" applyBorder="0" applyAlignment="0" applyProtection="0"/>
    <xf numFmtId="0" fontId="124" fillId="0" borderId="0">
      <protection locked="0"/>
    </xf>
    <xf numFmtId="2" fontId="107" fillId="0" borderId="0" applyFont="0" applyFill="0" applyBorder="0" applyAlignment="0" applyProtection="0"/>
    <xf numFmtId="1" fontId="35" fillId="0" borderId="0" applyFont="0" applyFill="0" applyBorder="0" applyAlignment="0" applyProtection="0"/>
    <xf numFmtId="0" fontId="63" fillId="0" borderId="0" applyFill="0" applyBorder="0">
      <alignment horizontal="right"/>
    </xf>
    <xf numFmtId="0" fontId="135" fillId="0" borderId="0">
      <alignment horizontal="left"/>
    </xf>
    <xf numFmtId="0" fontId="136" fillId="0" borderId="0">
      <alignment horizontal="left"/>
    </xf>
    <xf numFmtId="0" fontId="137" fillId="0" borderId="0" applyFill="0" applyBorder="0" applyProtection="0">
      <alignment horizontal="left"/>
    </xf>
    <xf numFmtId="0" fontId="137" fillId="0" borderId="0" applyNumberFormat="0" applyFill="0" applyBorder="0" applyProtection="0">
      <alignment horizontal="left"/>
    </xf>
    <xf numFmtId="0" fontId="137" fillId="0" borderId="0">
      <alignment horizontal="left"/>
    </xf>
    <xf numFmtId="0" fontId="138" fillId="0" borderId="0" applyNumberFormat="0" applyFill="0" applyBorder="0" applyAlignment="0" applyProtection="0"/>
    <xf numFmtId="1" fontId="31" fillId="0" borderId="0" applyNumberFormat="0" applyBorder="0" applyAlignment="0" applyProtection="0"/>
    <xf numFmtId="0" fontId="40" fillId="0" borderId="0"/>
    <xf numFmtId="0" fontId="31" fillId="0" borderId="0"/>
    <xf numFmtId="0" fontId="139" fillId="0" borderId="0"/>
    <xf numFmtId="215" fontId="40" fillId="0" borderId="0"/>
    <xf numFmtId="178" fontId="140" fillId="0" borderId="0"/>
    <xf numFmtId="0" fontId="31" fillId="2" borderId="9" applyFont="0" applyBorder="0" applyAlignment="0" applyProtection="0">
      <alignment vertical="top"/>
    </xf>
    <xf numFmtId="0" fontId="1" fillId="0" borderId="0" applyBorder="0" applyProtection="0"/>
    <xf numFmtId="0" fontId="45" fillId="0" borderId="0" applyFont="0" applyFill="0" applyBorder="0" applyAlignment="0" applyProtection="0"/>
    <xf numFmtId="13" fontId="1" fillId="0" borderId="53" applyFont="0" applyFill="0" applyBorder="0">
      <alignment horizontal="left"/>
    </xf>
    <xf numFmtId="0" fontId="31" fillId="0" borderId="0" applyFont="0" applyFill="0" applyBorder="0" applyAlignment="0" applyProtection="0"/>
    <xf numFmtId="0" fontId="45" fillId="0" borderId="0" applyFont="0" applyFill="0" applyBorder="0" applyAlignment="0" applyProtection="0"/>
    <xf numFmtId="216" fontId="42" fillId="0" borderId="0" applyFont="0" applyBorder="0" applyProtection="0">
      <protection locked="0"/>
    </xf>
    <xf numFmtId="0" fontId="31" fillId="0" borderId="54"/>
    <xf numFmtId="0" fontId="31" fillId="16" borderId="5">
      <alignment horizontal="right"/>
    </xf>
    <xf numFmtId="0" fontId="31" fillId="16" borderId="5">
      <alignment horizontal="right"/>
    </xf>
    <xf numFmtId="0" fontId="31" fillId="16" borderId="5">
      <alignment horizontal="right"/>
    </xf>
    <xf numFmtId="49" fontId="31" fillId="0" borderId="0" applyFill="0" applyBorder="0"/>
    <xf numFmtId="49" fontId="1" fillId="0" borderId="0"/>
    <xf numFmtId="49" fontId="1" fillId="0" borderId="0" applyFill="0" applyBorder="0">
      <alignment horizontal="right" vertical="center"/>
    </xf>
    <xf numFmtId="49" fontId="1" fillId="0" borderId="0" applyFill="0" applyBorder="0">
      <alignment horizontal="right" vertical="center"/>
    </xf>
    <xf numFmtId="0" fontId="1" fillId="0" borderId="0">
      <alignment vertical="center"/>
    </xf>
    <xf numFmtId="0" fontId="49" fillId="0" borderId="0" applyFill="0" applyBorder="0" applyAlignment="0" applyProtection="0">
      <protection locked="0"/>
    </xf>
    <xf numFmtId="0" fontId="141" fillId="0" borderId="0" applyFont="0" applyFill="0" applyBorder="0" applyProtection="0">
      <alignment horizontal="center" wrapText="1"/>
    </xf>
    <xf numFmtId="0" fontId="31" fillId="0" borderId="0" applyFont="0" applyFill="0" applyBorder="0" applyProtection="0">
      <alignment horizontal="right"/>
    </xf>
    <xf numFmtId="0" fontId="142" fillId="0" borderId="0"/>
    <xf numFmtId="37" fontId="143" fillId="0" borderId="55">
      <alignment horizontal="right" vertical="center"/>
    </xf>
    <xf numFmtId="37" fontId="5" fillId="0" borderId="56"/>
    <xf numFmtId="0" fontId="144" fillId="0" borderId="0"/>
    <xf numFmtId="38" fontId="31" fillId="16" borderId="0" applyNumberFormat="0" applyBorder="0" applyAlignment="0" applyProtection="0"/>
    <xf numFmtId="0" fontId="31" fillId="1" borderId="0" applyFont="0" applyFill="0" applyBorder="0" applyAlignment="0" applyProtection="0">
      <alignment horizontal="right"/>
    </xf>
    <xf numFmtId="0" fontId="45" fillId="0" borderId="6" applyFill="0" applyBorder="0" applyProtection="0">
      <alignment horizontal="left"/>
    </xf>
    <xf numFmtId="0" fontId="54" fillId="0" borderId="0" applyNumberFormat="0" applyAlignment="0"/>
    <xf numFmtId="0" fontId="31" fillId="0" borderId="0"/>
    <xf numFmtId="10" fontId="49" fillId="2" borderId="0" applyFill="0" applyAlignment="0">
      <alignment horizontal="right"/>
    </xf>
    <xf numFmtId="0" fontId="54" fillId="0" borderId="0" applyFill="0" applyBorder="0" applyAlignment="0" applyProtection="0"/>
    <xf numFmtId="0" fontId="54" fillId="0" borderId="0" applyAlignment="0">
      <alignment horizontal="left"/>
      <protection locked="0"/>
    </xf>
    <xf numFmtId="0" fontId="145" fillId="2" borderId="0" applyAlignment="0">
      <alignment horizontal="right"/>
    </xf>
    <xf numFmtId="0" fontId="31" fillId="17" borderId="46" applyNumberFormat="0" applyAlignment="0" applyProtection="0"/>
    <xf numFmtId="0" fontId="5" fillId="0" borderId="0" applyBorder="0">
      <alignment horizontal="left"/>
    </xf>
    <xf numFmtId="49" fontId="138" fillId="0" borderId="0">
      <alignment horizontal="right"/>
    </xf>
    <xf numFmtId="49" fontId="146" fillId="0" borderId="0">
      <alignment horizontal="right"/>
    </xf>
    <xf numFmtId="0" fontId="1" fillId="0" borderId="0">
      <alignment vertical="center"/>
    </xf>
    <xf numFmtId="0" fontId="1" fillId="15" borderId="9" applyNumberFormat="0" applyFont="0" applyBorder="0" applyAlignment="0" applyProtection="0"/>
    <xf numFmtId="0" fontId="1" fillId="33" borderId="9" applyNumberFormat="0" applyFont="0" applyAlignment="0"/>
    <xf numFmtId="0" fontId="54" fillId="0" borderId="0" applyFont="0" applyFill="0" applyBorder="0" applyAlignment="0" applyProtection="0">
      <alignment horizontal="right"/>
    </xf>
    <xf numFmtId="0" fontId="147" fillId="15" borderId="0" applyNumberFormat="0" applyFont="0" applyAlignment="0"/>
    <xf numFmtId="0" fontId="148" fillId="34" borderId="0" applyNumberFormat="0" applyBorder="0" applyProtection="0">
      <alignment horizontal="left" vertical="center"/>
    </xf>
    <xf numFmtId="0" fontId="149" fillId="0" borderId="0">
      <alignment horizontal="right"/>
    </xf>
    <xf numFmtId="0" fontId="150" fillId="1" borderId="0" applyNumberFormat="0" applyBorder="0" applyProtection="0">
      <alignment horizontal="left" vertical="center"/>
    </xf>
    <xf numFmtId="0" fontId="1" fillId="0" borderId="0" applyProtection="0">
      <alignment horizontal="right"/>
    </xf>
    <xf numFmtId="0" fontId="151" fillId="0" borderId="0">
      <alignment horizontal="left"/>
    </xf>
    <xf numFmtId="0" fontId="151" fillId="0" borderId="0">
      <alignment horizontal="left"/>
    </xf>
    <xf numFmtId="0" fontId="97" fillId="0" borderId="57" applyNumberFormat="0" applyAlignment="0" applyProtection="0">
      <alignment horizontal="left" vertical="center"/>
    </xf>
    <xf numFmtId="0" fontId="97" fillId="0" borderId="40">
      <alignment horizontal="left" vertical="center"/>
    </xf>
    <xf numFmtId="0" fontId="152" fillId="0" borderId="0">
      <alignment horizontal="center"/>
    </xf>
    <xf numFmtId="0" fontId="153" fillId="0" borderId="0"/>
    <xf numFmtId="0" fontId="1" fillId="0" borderId="0">
      <alignment horizontal="center"/>
    </xf>
    <xf numFmtId="0" fontId="154" fillId="0" borderId="0">
      <alignment horizontal="left"/>
    </xf>
    <xf numFmtId="0" fontId="155" fillId="0" borderId="6">
      <alignment horizontal="left" vertical="top"/>
    </xf>
    <xf numFmtId="0" fontId="39" fillId="0" borderId="0">
      <alignment horizontal="left"/>
    </xf>
    <xf numFmtId="0" fontId="3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217" fontId="49" fillId="0" borderId="0">
      <alignment horizontal="left"/>
    </xf>
    <xf numFmtId="0" fontId="1" fillId="0" borderId="0"/>
    <xf numFmtId="218" fontId="37" fillId="0" borderId="0" applyFont="0" applyFill="0" applyBorder="0" applyAlignment="0" applyProtection="0"/>
    <xf numFmtId="219" fontId="54" fillId="0" borderId="0" applyFont="0" applyFill="0" applyBorder="0" applyProtection="0">
      <alignment horizontal="right"/>
    </xf>
    <xf numFmtId="174" fontId="117" fillId="0" borderId="0" applyFont="0" applyFill="0" applyBorder="0" applyAlignment="0" applyProtection="0"/>
    <xf numFmtId="220" fontId="117" fillId="0" borderId="0" applyFont="0" applyFill="0" applyBorder="0" applyAlignment="0" applyProtection="0"/>
    <xf numFmtId="0" fontId="54" fillId="0" borderId="0" applyFont="0" applyFill="0" applyBorder="0" applyAlignment="0" applyProtection="0">
      <alignment horizontal="right"/>
    </xf>
    <xf numFmtId="217" fontId="156" fillId="0" borderId="0"/>
    <xf numFmtId="0" fontId="1" fillId="0" borderId="0"/>
    <xf numFmtId="0" fontId="1" fillId="0" borderId="0" applyFill="0" applyBorder="0" applyProtection="0">
      <protection locked="0"/>
    </xf>
    <xf numFmtId="0" fontId="30" fillId="0" borderId="0"/>
    <xf numFmtId="0" fontId="1" fillId="0" borderId="0"/>
    <xf numFmtId="190" fontId="31" fillId="0" borderId="0"/>
    <xf numFmtId="190" fontId="34" fillId="0" borderId="0">
      <protection locked="0"/>
    </xf>
    <xf numFmtId="221" fontId="31" fillId="0" borderId="0" applyFill="0" applyBorder="0" applyProtection="0">
      <alignment horizontal="right" wrapText="1"/>
    </xf>
    <xf numFmtId="217" fontId="49" fillId="0" borderId="0"/>
    <xf numFmtId="222" fontId="31" fillId="0" borderId="0" applyFill="0" applyBorder="0" applyProtection="0">
      <alignment horizontal="right" wrapText="1"/>
    </xf>
    <xf numFmtId="0" fontId="3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7" fillId="0" borderId="0" applyFill="0" applyBorder="0" applyProtection="0">
      <alignment horizontal="left"/>
    </xf>
    <xf numFmtId="0" fontId="158" fillId="0" borderId="0" applyFill="0" applyBorder="0" applyProtection="0">
      <alignment horizontal="left"/>
    </xf>
    <xf numFmtId="1" fontId="1" fillId="0" borderId="0" applyProtection="0">
      <alignment horizontal="right" vertical="center"/>
    </xf>
    <xf numFmtId="223" fontId="1" fillId="0" borderId="0" applyFont="0" applyFill="0" applyBorder="0" applyAlignment="0" applyProtection="0"/>
    <xf numFmtId="224" fontId="66" fillId="0" borderId="0" applyFont="0" applyFill="0" applyBorder="0" applyAlignment="0" applyProtection="0">
      <alignment horizontal="right"/>
    </xf>
    <xf numFmtId="9" fontId="61" fillId="0" borderId="0" applyFont="0" applyFill="0" applyBorder="0" applyAlignment="0" applyProtection="0"/>
    <xf numFmtId="169" fontId="61" fillId="0" borderId="0" applyFont="0" applyFill="0" applyBorder="0" applyAlignment="0" applyProtection="0"/>
    <xf numFmtId="9" fontId="1" fillId="0" borderId="0" applyFont="0" applyFill="0" applyBorder="0" applyAlignment="0" applyProtection="0"/>
    <xf numFmtId="225" fontId="49" fillId="0" borderId="0" applyFont="0" applyFill="0" applyBorder="0" applyProtection="0">
      <alignment horizontal="right"/>
    </xf>
    <xf numFmtId="169" fontId="49" fillId="0" borderId="0"/>
    <xf numFmtId="169" fontId="105" fillId="0" borderId="0"/>
    <xf numFmtId="10" fontId="49" fillId="0" borderId="0"/>
    <xf numFmtId="10" fontId="105" fillId="0" borderId="0">
      <protection locked="0"/>
    </xf>
    <xf numFmtId="0" fontId="45" fillId="29" borderId="0" applyNumberFormat="0" applyFont="0" applyBorder="0" applyAlignment="0" applyProtection="0"/>
    <xf numFmtId="177" fontId="159" fillId="0" borderId="0" applyFill="0" applyBorder="0" applyAlignment="0" applyProtection="0"/>
    <xf numFmtId="0" fontId="44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alignment vertical="top"/>
    </xf>
    <xf numFmtId="0" fontId="160" fillId="0" borderId="0" applyNumberFormat="0" applyFill="0" applyBorder="0" applyProtection="0"/>
    <xf numFmtId="0" fontId="161" fillId="35" borderId="0" applyNumberFormat="0" applyBorder="0" applyProtection="0"/>
    <xf numFmtId="0" fontId="162" fillId="29" borderId="0" applyNumberFormat="0" applyBorder="0" applyProtection="0"/>
    <xf numFmtId="0" fontId="33" fillId="0" borderId="0" applyNumberFormat="0" applyFill="0" applyBorder="0" applyProtection="0"/>
    <xf numFmtId="0" fontId="162" fillId="0" borderId="0" applyNumberFormat="0" applyFill="0" applyBorder="0" applyProtection="0"/>
    <xf numFmtId="0" fontId="163" fillId="0" borderId="0" applyNumberFormat="0" applyFill="0" applyBorder="0" applyProtection="0"/>
    <xf numFmtId="0" fontId="162" fillId="0" borderId="0" applyNumberFormat="0" applyFill="0" applyBorder="0" applyProtection="0">
      <alignment wrapText="1"/>
    </xf>
    <xf numFmtId="0" fontId="164" fillId="0" borderId="0" applyNumberFormat="0" applyFill="0" applyBorder="0" applyProtection="0"/>
    <xf numFmtId="172" fontId="31" fillId="0" borderId="0" applyFill="0" applyBorder="0" applyProtection="0">
      <alignment horizontal="right" wrapText="1"/>
    </xf>
    <xf numFmtId="0" fontId="1" fillId="0" borderId="0">
      <alignment vertical="top"/>
    </xf>
    <xf numFmtId="4" fontId="31" fillId="0" borderId="0" applyFill="0" applyBorder="0" applyProtection="0">
      <alignment wrapText="1"/>
    </xf>
    <xf numFmtId="0" fontId="31" fillId="0" borderId="0" applyNumberFormat="0" applyFill="0" applyBorder="0" applyProtection="0">
      <alignment horizontal="left" vertical="top" wrapText="1"/>
    </xf>
    <xf numFmtId="0" fontId="73" fillId="0" borderId="0" applyNumberFormat="0" applyFill="0" applyBorder="0" applyProtection="0">
      <alignment horizontal="left" vertical="top" wrapText="1"/>
    </xf>
    <xf numFmtId="226" fontId="165" fillId="0" borderId="0" applyFill="0" applyBorder="0" applyProtection="0">
      <alignment horizontal="center" wrapText="1"/>
    </xf>
    <xf numFmtId="227" fontId="165" fillId="0" borderId="0" applyFill="0" applyBorder="0" applyProtection="0">
      <alignment horizontal="right" wrapText="1"/>
    </xf>
    <xf numFmtId="228" fontId="165" fillId="0" borderId="0" applyFill="0" applyBorder="0" applyProtection="0">
      <alignment horizontal="right" wrapText="1"/>
    </xf>
    <xf numFmtId="229" fontId="165" fillId="0" borderId="0" applyFill="0" applyBorder="0" applyProtection="0">
      <alignment horizontal="right" wrapText="1"/>
    </xf>
    <xf numFmtId="37" fontId="165" fillId="0" borderId="0" applyFill="0" applyBorder="0" applyProtection="0">
      <alignment horizontal="center" wrapText="1"/>
    </xf>
    <xf numFmtId="230" fontId="165" fillId="0" borderId="0" applyFill="0" applyBorder="0" applyProtection="0">
      <alignment horizontal="right"/>
    </xf>
    <xf numFmtId="231" fontId="165" fillId="0" borderId="0" applyFill="0" applyBorder="0" applyProtection="0">
      <alignment horizontal="right"/>
    </xf>
    <xf numFmtId="0" fontId="1" fillId="0" borderId="0">
      <alignment vertical="top"/>
    </xf>
    <xf numFmtId="232" fontId="165" fillId="0" borderId="0" applyFill="0" applyBorder="0" applyProtection="0">
      <alignment horizontal="right"/>
    </xf>
    <xf numFmtId="4" fontId="165" fillId="0" borderId="0" applyFill="0" applyBorder="0" applyProtection="0">
      <alignment wrapText="1"/>
    </xf>
    <xf numFmtId="0" fontId="73" fillId="0" borderId="58" applyNumberFormat="0" applyFill="0" applyProtection="0">
      <alignment wrapText="1"/>
    </xf>
    <xf numFmtId="0" fontId="5" fillId="0" borderId="0" applyNumberFormat="0" applyFill="0" applyBorder="0" applyProtection="0">
      <alignment wrapText="1"/>
    </xf>
    <xf numFmtId="0" fontId="73" fillId="0" borderId="58" applyNumberFormat="0" applyFill="0" applyProtection="0">
      <alignment horizontal="center" wrapText="1"/>
    </xf>
    <xf numFmtId="233" fontId="73" fillId="0" borderId="0" applyFill="0" applyBorder="0" applyProtection="0">
      <alignment horizontal="center" wrapText="1"/>
    </xf>
    <xf numFmtId="0" fontId="97" fillId="0" borderId="0" applyNumberFormat="0" applyFill="0" applyBorder="0" applyProtection="0">
      <alignment horizontal="justify" wrapText="1"/>
    </xf>
    <xf numFmtId="0" fontId="73" fillId="0" borderId="0" applyNumberFormat="0" applyFill="0" applyBorder="0" applyProtection="0">
      <alignment horizontal="centerContinuous" wrapText="1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1" fillId="0" borderId="0" applyNumberFormat="0" applyFill="0" applyBorder="0" applyAlignment="0" applyProtection="0"/>
    <xf numFmtId="0" fontId="1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" fillId="0" borderId="0">
      <alignment vertical="top"/>
    </xf>
    <xf numFmtId="0" fontId="31" fillId="0" borderId="0" applyNumberFormat="0" applyFill="0" applyBorder="0" applyAlignment="0" applyProtection="0"/>
    <xf numFmtId="0" fontId="48" fillId="0" borderId="0" applyFill="0" applyBorder="0" applyProtection="0">
      <alignment horizontal="center" vertical="center"/>
    </xf>
    <xf numFmtId="0" fontId="1" fillId="0" borderId="0" applyBorder="0" applyProtection="0">
      <alignment vertical="center"/>
    </xf>
    <xf numFmtId="0" fontId="1" fillId="0" borderId="30" applyBorder="0" applyProtection="0">
      <alignment horizontal="right" vertical="center"/>
    </xf>
    <xf numFmtId="0" fontId="1" fillId="36" borderId="0" applyBorder="0" applyProtection="0">
      <alignment horizontal="centerContinuous" vertical="center"/>
    </xf>
    <xf numFmtId="0" fontId="1" fillId="37" borderId="30" applyBorder="0" applyProtection="0">
      <alignment horizontal="centerContinuous" vertical="center"/>
    </xf>
    <xf numFmtId="0" fontId="48" fillId="0" borderId="0" applyFill="0" applyBorder="0" applyProtection="0"/>
    <xf numFmtId="0" fontId="5" fillId="0" borderId="0" applyFill="0" applyBorder="0" applyProtection="0">
      <alignment horizontal="left"/>
    </xf>
    <xf numFmtId="0" fontId="145" fillId="0" borderId="0" applyFill="0" applyBorder="0" applyProtection="0">
      <alignment horizontal="left" vertical="top"/>
    </xf>
    <xf numFmtId="169" fontId="1" fillId="0" borderId="0" applyNumberFormat="0" applyFill="0" applyBorder="0">
      <alignment horizontal="left"/>
    </xf>
    <xf numFmtId="169" fontId="1" fillId="0" borderId="0" applyNumberFormat="0" applyFill="0" applyBorder="0">
      <alignment horizontal="right"/>
    </xf>
    <xf numFmtId="169" fontId="1" fillId="0" borderId="0" applyNumberFormat="0" applyFill="0" applyBorder="0">
      <alignment horizontal="right"/>
    </xf>
    <xf numFmtId="0" fontId="1" fillId="2" borderId="59" applyNumberFormat="0" applyFont="0" applyFill="0" applyAlignment="0" applyProtection="0">
      <protection locked="0"/>
    </xf>
    <xf numFmtId="0" fontId="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alignment horizontal="center"/>
    </xf>
    <xf numFmtId="217" fontId="1" fillId="0" borderId="0">
      <alignment horizontal="centerContinuous"/>
    </xf>
    <xf numFmtId="217" fontId="1" fillId="0" borderId="60">
      <alignment horizontal="centerContinuous"/>
    </xf>
    <xf numFmtId="217" fontId="1" fillId="0" borderId="0">
      <alignment horizontal="centerContinuous"/>
      <protection locked="0"/>
    </xf>
    <xf numFmtId="217" fontId="1" fillId="0" borderId="0">
      <alignment horizontal="left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200" fontId="1" fillId="0" borderId="0">
      <alignment horizontal="left"/>
      <protection locked="0"/>
    </xf>
    <xf numFmtId="234" fontId="85" fillId="0" borderId="0" applyFont="0" applyFill="0" applyBorder="0" applyAlignment="0" applyProtection="0"/>
    <xf numFmtId="235" fontId="85" fillId="0" borderId="0" applyFont="0" applyFill="0" applyBorder="0" applyAlignment="0" applyProtection="0"/>
    <xf numFmtId="200" fontId="49" fillId="0" borderId="0" applyFont="0" applyFill="0" applyBorder="0" applyProtection="0">
      <alignment horizontal="right"/>
    </xf>
    <xf numFmtId="169" fontId="1" fillId="0" borderId="0" applyFont="0" applyFill="0" applyBorder="0" applyAlignment="0" applyProtection="0"/>
    <xf numFmtId="0" fontId="55" fillId="0" borderId="33" applyNumberFormat="0" applyFill="0" applyAlignment="0" applyProtection="0"/>
    <xf numFmtId="0" fontId="55" fillId="0" borderId="33" applyNumberFormat="0" applyFill="0" applyAlignment="0" applyProtection="0"/>
    <xf numFmtId="0" fontId="55" fillId="0" borderId="33" applyNumberFormat="0" applyFill="0" applyAlignment="0" applyProtection="0"/>
    <xf numFmtId="0" fontId="55" fillId="0" borderId="33" applyNumberFormat="0" applyFill="0" applyAlignment="0" applyProtection="0"/>
    <xf numFmtId="0" fontId="55" fillId="0" borderId="33" applyNumberFormat="0" applyFill="0" applyAlignment="0" applyProtection="0"/>
    <xf numFmtId="0" fontId="55" fillId="0" borderId="33" applyNumberFormat="0" applyFill="0" applyAlignment="0" applyProtection="0"/>
    <xf numFmtId="0" fontId="55" fillId="0" borderId="33" applyNumberFormat="0" applyFill="0" applyAlignment="0" applyProtection="0"/>
    <xf numFmtId="38" fontId="45" fillId="0" borderId="27"/>
    <xf numFmtId="0" fontId="1" fillId="0" borderId="41" applyNumberFormat="0" applyFill="0" applyBorder="0" applyAlignment="0" applyProtection="0"/>
    <xf numFmtId="0" fontId="73" fillId="0" borderId="41" applyNumberFormat="0" applyFill="0" applyBorder="0" applyAlignment="0" applyProtection="0"/>
    <xf numFmtId="0" fontId="74" fillId="0" borderId="41" applyNumberFormat="0" applyFill="0" applyBorder="0" applyAlignment="0" applyProtection="0"/>
    <xf numFmtId="0" fontId="31" fillId="0" borderId="41" applyNumberFormat="0" applyFill="0" applyAlignment="0" applyProtection="0"/>
    <xf numFmtId="0" fontId="1" fillId="0" borderId="49" applyFill="0" applyProtection="0">
      <alignment horizontal="right"/>
    </xf>
    <xf numFmtId="0" fontId="96" fillId="24" borderId="61"/>
    <xf numFmtId="0" fontId="81" fillId="27" borderId="61" applyNumberFormat="0" applyBorder="0" applyProtection="0">
      <alignment horizontal="center" vertical="center" wrapText="1"/>
    </xf>
    <xf numFmtId="4" fontId="109" fillId="0" borderId="61" applyFont="0" applyFill="0" applyBorder="0" applyAlignment="0" applyProtection="0"/>
    <xf numFmtId="168" fontId="119" fillId="0" borderId="51">
      <protection locked="0"/>
    </xf>
    <xf numFmtId="0" fontId="31" fillId="0" borderId="61" applyFont="0" applyFill="0" applyBorder="0" applyAlignment="0" applyProtection="0">
      <alignment horizontal="right"/>
    </xf>
    <xf numFmtId="9" fontId="129" fillId="0" borderId="61" applyNumberFormat="0" applyBorder="0" applyAlignment="0">
      <protection locked="0"/>
    </xf>
    <xf numFmtId="0" fontId="31" fillId="2" borderId="61" applyFont="0" applyBorder="0" applyAlignment="0" applyProtection="0">
      <alignment vertical="top"/>
    </xf>
    <xf numFmtId="37" fontId="5" fillId="0" borderId="56"/>
    <xf numFmtId="0" fontId="1" fillId="15" borderId="61" applyNumberFormat="0" applyFont="0" applyBorder="0" applyAlignment="0" applyProtection="0"/>
    <xf numFmtId="0" fontId="1" fillId="33" borderId="61" applyNumberFormat="0" applyFont="0" applyAlignment="0"/>
    <xf numFmtId="217" fontId="1" fillId="0" borderId="60">
      <alignment horizontal="centerContinuous"/>
    </xf>
    <xf numFmtId="0" fontId="166" fillId="0" borderId="26" applyNumberFormat="0" applyFill="0" applyAlignment="0" applyProtection="0"/>
    <xf numFmtId="238" fontId="30" fillId="0" borderId="0"/>
    <xf numFmtId="238" fontId="32" fillId="0" borderId="0"/>
    <xf numFmtId="238" fontId="35" fillId="0" borderId="0"/>
    <xf numFmtId="238" fontId="36" fillId="0" borderId="0" applyNumberFormat="0" applyFill="0" applyBorder="0" applyAlignment="0" applyProtection="0"/>
    <xf numFmtId="238" fontId="38" fillId="0" borderId="0"/>
    <xf numFmtId="238" fontId="39" fillId="0" borderId="0"/>
    <xf numFmtId="238" fontId="39" fillId="0" borderId="0"/>
    <xf numFmtId="238" fontId="40" fillId="0" borderId="0"/>
    <xf numFmtId="238" fontId="39" fillId="0" borderId="0"/>
    <xf numFmtId="238" fontId="31" fillId="0" borderId="0">
      <alignment horizontal="right"/>
    </xf>
    <xf numFmtId="238" fontId="1" fillId="0" borderId="0"/>
    <xf numFmtId="238" fontId="31" fillId="0" borderId="0"/>
    <xf numFmtId="238" fontId="31" fillId="0" borderId="0"/>
    <xf numFmtId="238" fontId="42" fillId="0" borderId="0"/>
    <xf numFmtId="238" fontId="42" fillId="0" borderId="0"/>
    <xf numFmtId="238" fontId="42" fillId="0" borderId="0"/>
    <xf numFmtId="238" fontId="42" fillId="0" borderId="0"/>
    <xf numFmtId="238" fontId="43" fillId="0" borderId="0" applyFont="0" applyFill="0" applyBorder="0" applyAlignment="0" applyProtection="0"/>
    <xf numFmtId="238" fontId="44" fillId="0" borderId="0" applyNumberFormat="0" applyFont="0" applyFill="0" applyBorder="0" applyAlignment="0" applyProtection="0"/>
    <xf numFmtId="238" fontId="1" fillId="0" borderId="30" applyBorder="0"/>
    <xf numFmtId="238" fontId="45" fillId="0" borderId="0" applyFont="0" applyFill="0" applyBorder="0" applyAlignment="0"/>
    <xf numFmtId="238" fontId="1" fillId="0" borderId="0" applyFont="0" applyFill="0" applyBorder="0" applyAlignment="0" applyProtection="0"/>
    <xf numFmtId="238" fontId="48" fillId="0" borderId="0" applyFont="0" applyAlignment="0">
      <alignment horizontal="center" vertical="center"/>
    </xf>
    <xf numFmtId="238" fontId="5" fillId="0" borderId="0" applyNumberFormat="0" applyFont="0" applyBorder="0" applyAlignment="0">
      <alignment horizontal="left"/>
    </xf>
    <xf numFmtId="238" fontId="49" fillId="0" borderId="0"/>
    <xf numFmtId="238" fontId="45" fillId="0" borderId="0"/>
    <xf numFmtId="238" fontId="48" fillId="0" borderId="0" applyFont="0" applyAlignment="0">
      <alignment horizontal="center" vertical="center"/>
    </xf>
    <xf numFmtId="238" fontId="48" fillId="0" borderId="0" applyFont="0" applyAlignment="0">
      <alignment horizontal="center" vertical="center"/>
    </xf>
    <xf numFmtId="238" fontId="48" fillId="0" borderId="0" applyFont="0" applyAlignment="0">
      <alignment horizontal="center" vertical="center"/>
    </xf>
    <xf numFmtId="238" fontId="48" fillId="0" borderId="0" applyFont="0" applyAlignment="0">
      <alignment horizontal="center" vertical="center"/>
    </xf>
    <xf numFmtId="238" fontId="48" fillId="0" borderId="0" applyFont="0" applyAlignment="0">
      <alignment horizontal="center" vertical="center"/>
    </xf>
    <xf numFmtId="238" fontId="48" fillId="0" borderId="0" applyFont="0" applyAlignment="0">
      <alignment horizontal="center" vertical="center"/>
    </xf>
    <xf numFmtId="238" fontId="45" fillId="0" borderId="0"/>
    <xf numFmtId="238" fontId="45" fillId="0" borderId="0"/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5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1" fillId="0" borderId="0" applyFont="0" applyFill="0" applyBorder="0" applyAlignment="0" applyProtection="0"/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40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1" fillId="0" borderId="0"/>
    <xf numFmtId="238" fontId="1" fillId="0" borderId="0" applyFont="0" applyFill="0" applyBorder="0" applyAlignment="0" applyProtection="0"/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52" fillId="0" borderId="0"/>
    <xf numFmtId="238" fontId="31" fillId="0" borderId="0">
      <alignment horizontal="left" wrapText="1"/>
    </xf>
    <xf numFmtId="238" fontId="31" fillId="0" borderId="0">
      <alignment horizontal="left" wrapText="1"/>
    </xf>
    <xf numFmtId="238" fontId="31" fillId="0" borderId="0">
      <alignment horizontal="left" wrapText="1"/>
    </xf>
    <xf numFmtId="238" fontId="1" fillId="0" borderId="0"/>
    <xf numFmtId="238" fontId="52" fillId="0" borderId="0"/>
    <xf numFmtId="238" fontId="1" fillId="0" borderId="0" applyFont="0" applyFill="0" applyBorder="0" applyAlignment="0" applyProtection="0"/>
    <xf numFmtId="238" fontId="53" fillId="11" borderId="0"/>
    <xf numFmtId="238" fontId="44" fillId="0" borderId="0" applyNumberFormat="0" applyFill="0" applyBorder="0" applyAlignment="0" applyProtection="0"/>
    <xf numFmtId="238" fontId="1" fillId="0" borderId="0" applyFont="0" applyFill="0" applyBorder="0" applyAlignment="0" applyProtection="0"/>
    <xf numFmtId="238" fontId="31" fillId="0" borderId="0"/>
    <xf numFmtId="238" fontId="31" fillId="0" borderId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5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50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/>
    <xf numFmtId="238" fontId="31" fillId="0" borderId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5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>
      <alignment horizontal="right" vertical="center"/>
      <protection locked="0"/>
    </xf>
    <xf numFmtId="238" fontId="31" fillId="0" borderId="0">
      <alignment horizontal="right" vertical="center"/>
      <protection locked="0"/>
    </xf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>
      <alignment horizontal="right" vertical="center"/>
      <protection locked="0"/>
    </xf>
    <xf numFmtId="238" fontId="31" fillId="0" borderId="0">
      <alignment horizontal="right" vertical="center"/>
      <protection locked="0"/>
    </xf>
    <xf numFmtId="238" fontId="31" fillId="0" borderId="0">
      <alignment horizontal="right" vertical="center"/>
      <protection locked="0"/>
    </xf>
    <xf numFmtId="238" fontId="31" fillId="0" borderId="0">
      <alignment horizontal="right" vertical="center"/>
      <protection locked="0"/>
    </xf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40" fillId="0" borderId="0" applyFont="0" applyFill="0" applyBorder="0" applyAlignment="0" applyProtection="0"/>
    <xf numFmtId="238" fontId="40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40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50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5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55" fillId="0" borderId="0">
      <alignment horizontal="right" vertical="center"/>
      <protection locked="0"/>
    </xf>
    <xf numFmtId="238" fontId="55" fillId="0" borderId="0">
      <alignment horizontal="right" vertical="center"/>
      <protection locked="0"/>
    </xf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40" fillId="0" borderId="0" applyFont="0" applyFill="0" applyBorder="0" applyAlignment="0" applyProtection="0"/>
    <xf numFmtId="238" fontId="40" fillId="0" borderId="0" applyFont="0" applyFill="0" applyBorder="0" applyAlignment="0" applyProtection="0"/>
    <xf numFmtId="238" fontId="40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50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40" fillId="0" borderId="0" applyFont="0" applyFill="0" applyBorder="0" applyAlignment="0" applyProtection="0"/>
    <xf numFmtId="238" fontId="40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31" applyFont="0" applyFill="0" applyBorder="0" applyAlignment="0" applyProtection="0"/>
    <xf numFmtId="238" fontId="31" fillId="0" borderId="31" applyFont="0" applyFill="0" applyBorder="0" applyAlignment="0" applyProtection="0"/>
    <xf numFmtId="238" fontId="31" fillId="0" borderId="31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56" fillId="0" borderId="0" applyNumberFormat="0" applyFill="0" applyBorder="0" applyAlignment="0" applyProtection="0"/>
    <xf numFmtId="238" fontId="56" fillId="0" borderId="0" applyNumberFormat="0" applyFill="0" applyBorder="0" applyAlignment="0" applyProtection="0"/>
    <xf numFmtId="238" fontId="56" fillId="0" borderId="0" applyNumberFormat="0" applyFill="0" applyBorder="0" applyAlignment="0" applyProtection="0"/>
    <xf numFmtId="238" fontId="56" fillId="0" borderId="0" applyNumberFormat="0" applyFill="0" applyBorder="0" applyAlignment="0" applyProtection="0"/>
    <xf numFmtId="238" fontId="56" fillId="0" borderId="0" applyNumberFormat="0" applyFill="0" applyBorder="0" applyAlignment="0" applyProtection="0"/>
    <xf numFmtId="238" fontId="56" fillId="0" borderId="0" applyNumberFormat="0" applyFill="0" applyBorder="0" applyAlignment="0" applyProtection="0"/>
    <xf numFmtId="238" fontId="56" fillId="0" borderId="0" applyNumberFormat="0" applyFill="0" applyBorder="0" applyAlignment="0" applyProtection="0"/>
    <xf numFmtId="238" fontId="56" fillId="0" borderId="0" applyNumberFormat="0" applyFill="0" applyBorder="0" applyAlignment="0" applyProtection="0"/>
    <xf numFmtId="238" fontId="56" fillId="0" borderId="0" applyNumberFormat="0" applyFill="0" applyBorder="0" applyAlignment="0" applyProtection="0"/>
    <xf numFmtId="238" fontId="56" fillId="0" borderId="0" applyNumberFormat="0" applyFill="0" applyBorder="0" applyAlignment="0" applyProtection="0"/>
    <xf numFmtId="238" fontId="56" fillId="0" borderId="0" applyNumberFormat="0" applyFill="0" applyBorder="0" applyAlignment="0" applyProtection="0"/>
    <xf numFmtId="238" fontId="1" fillId="12" borderId="0" applyNumberFormat="0" applyFont="0" applyAlignment="0" applyProtection="0"/>
    <xf numFmtId="238" fontId="1" fillId="12" borderId="0" applyNumberFormat="0" applyFont="0" applyAlignment="0" applyProtection="0"/>
    <xf numFmtId="238" fontId="1" fillId="12" borderId="0" applyNumberFormat="0" applyFont="0" applyAlignment="0" applyProtection="0"/>
    <xf numFmtId="238" fontId="1" fillId="12" borderId="0" applyNumberFormat="0" applyFont="0" applyAlignment="0" applyProtection="0"/>
    <xf numFmtId="238" fontId="40" fillId="12" borderId="0" applyNumberFormat="0" applyFont="0" applyAlignment="0" applyProtection="0"/>
    <xf numFmtId="238" fontId="1" fillId="12" borderId="0" applyNumberFormat="0" applyFont="0" applyAlignment="0" applyProtection="0"/>
    <xf numFmtId="238" fontId="1" fillId="13" borderId="0" applyNumberFormat="0" applyFont="0" applyAlignment="0" applyProtection="0"/>
    <xf numFmtId="238" fontId="1" fillId="12" borderId="0" applyNumberFormat="0" applyFont="0" applyAlignment="0" applyProtection="0"/>
    <xf numFmtId="238" fontId="1" fillId="12" borderId="0" applyNumberFormat="0" applyFont="0" applyAlignment="0" applyProtection="0"/>
    <xf numFmtId="238" fontId="40" fillId="12" borderId="0" applyNumberFormat="0" applyFont="0" applyAlignment="0" applyProtection="0"/>
    <xf numFmtId="238" fontId="40" fillId="14" borderId="0" applyNumberFormat="0" applyFont="0" applyAlignment="0" applyProtection="0"/>
    <xf numFmtId="238" fontId="1" fillId="12" borderId="0" applyNumberFormat="0" applyFont="0" applyAlignment="0" applyProtection="0"/>
    <xf numFmtId="238" fontId="1" fillId="12" borderId="0" applyNumberFormat="0" applyFont="0" applyAlignment="0" applyProtection="0"/>
    <xf numFmtId="238" fontId="45" fillId="12" borderId="0" applyNumberFormat="0" applyFont="0" applyAlignment="0" applyProtection="0"/>
    <xf numFmtId="238" fontId="1" fillId="12" borderId="0" applyNumberFormat="0" applyFont="0" applyAlignment="0" applyProtection="0"/>
    <xf numFmtId="238" fontId="40" fillId="14" borderId="0" applyNumberFormat="0" applyFont="0" applyAlignment="0" applyProtection="0"/>
    <xf numFmtId="238" fontId="1" fillId="0" borderId="0"/>
    <xf numFmtId="238" fontId="1" fillId="12" borderId="0" applyNumberFormat="0" applyFont="0" applyAlignment="0" applyProtection="0"/>
    <xf numFmtId="238" fontId="1" fillId="12" borderId="0" applyNumberFormat="0" applyFont="0" applyAlignment="0" applyProtection="0"/>
    <xf numFmtId="238" fontId="1" fillId="12" borderId="0" applyNumberFormat="0" applyFont="0" applyAlignment="0" applyProtection="0"/>
    <xf numFmtId="238" fontId="1" fillId="12" borderId="0" applyNumberFormat="0" applyFont="0" applyAlignment="0" applyProtection="0"/>
    <xf numFmtId="238" fontId="1" fillId="12" borderId="0" applyNumberFormat="0" applyFont="0" applyAlignment="0" applyProtection="0"/>
    <xf numFmtId="238" fontId="1" fillId="12" borderId="0" applyNumberFormat="0" applyFont="0" applyAlignment="0" applyProtection="0"/>
    <xf numFmtId="238" fontId="1" fillId="12" borderId="0" applyNumberFormat="0" applyFont="0" applyAlignment="0" applyProtection="0"/>
    <xf numFmtId="238" fontId="44" fillId="0" borderId="0" applyNumberFormat="0" applyFill="0" applyBorder="0" applyAlignment="0" applyProtection="0"/>
    <xf numFmtId="238" fontId="1" fillId="0" borderId="0" applyFont="0" applyFill="0" applyBorder="0" applyAlignment="0" applyProtection="0"/>
    <xf numFmtId="238" fontId="31" fillId="0" borderId="0"/>
    <xf numFmtId="238" fontId="31" fillId="0" borderId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5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Alignment="0" applyProtection="0"/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55" fillId="0" borderId="0">
      <alignment horizontal="left" vertical="center" indent="4"/>
      <protection locked="0"/>
    </xf>
    <xf numFmtId="238" fontId="55" fillId="0" borderId="0">
      <alignment horizontal="left" vertical="center" indent="4"/>
      <protection locked="0"/>
    </xf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49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52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51" fillId="0" borderId="0" applyFill="0" applyProtection="0">
      <alignment horizontal="center"/>
    </xf>
    <xf numFmtId="238" fontId="51" fillId="0" borderId="0" applyFill="0" applyProtection="0">
      <alignment horizontal="center"/>
    </xf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40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40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50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Alignment="0" applyProtection="0"/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Protection="0">
      <alignment horizontal="right"/>
    </xf>
    <xf numFmtId="238" fontId="51" fillId="0" borderId="0" applyFont="0" applyFill="0" applyBorder="0" applyProtection="0">
      <alignment horizontal="right"/>
    </xf>
    <xf numFmtId="238" fontId="1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Protection="0">
      <alignment horizontal="right"/>
    </xf>
    <xf numFmtId="238" fontId="54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Alignment="0" applyProtection="0"/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Alignment="0" applyProtection="0"/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Alignment="0" applyProtection="0"/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Protection="0">
      <alignment horizontal="right"/>
    </xf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Protection="0">
      <alignment horizontal="right"/>
    </xf>
    <xf numFmtId="238" fontId="1" fillId="0" borderId="0" applyFont="0" applyFill="0" applyBorder="0" applyProtection="0">
      <alignment horizontal="left" indent="4"/>
    </xf>
    <xf numFmtId="238" fontId="1" fillId="0" borderId="0" applyFont="0" applyFill="0" applyBorder="0" applyProtection="0">
      <alignment horizontal="left" indent="4"/>
    </xf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Alignment="0" applyProtection="0"/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Alignment="0" applyProtection="0"/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40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40" fillId="0" borderId="0" applyFont="0" applyFill="0" applyBorder="0" applyAlignment="0" applyProtection="0"/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Alignment="0" applyProtection="0"/>
    <xf numFmtId="238" fontId="50" fillId="0" borderId="0" applyFont="0" applyFill="0" applyBorder="0" applyProtection="0">
      <alignment horizontal="right"/>
    </xf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Protection="0">
      <alignment horizontal="right"/>
    </xf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Protection="0">
      <alignment horizontal="right"/>
    </xf>
    <xf numFmtId="238" fontId="1" fillId="0" borderId="0" applyFont="0" applyFill="0" applyBorder="0" applyProtection="0">
      <alignment horizontal="right"/>
    </xf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44" fillId="0" borderId="0" applyNumberFormat="0" applyFill="0" applyBorder="0" applyAlignment="0" applyProtection="0"/>
    <xf numFmtId="238" fontId="1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1" fillId="0" borderId="0" applyFont="0" applyFill="0" applyBorder="0" applyProtection="0">
      <alignment horizontal="right"/>
    </xf>
    <xf numFmtId="238" fontId="54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40" fillId="0" borderId="0" applyFont="0" applyFill="0" applyBorder="0" applyAlignment="0" applyProtection="0"/>
    <xf numFmtId="238" fontId="40" fillId="0" borderId="0" applyFont="0" applyFill="0" applyBorder="0" applyAlignment="0" applyProtection="0"/>
    <xf numFmtId="238" fontId="40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40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31" fillId="0" borderId="32" applyFont="0" applyFill="0" applyBorder="0" applyProtection="0">
      <alignment horizontal="right"/>
    </xf>
    <xf numFmtId="238" fontId="31" fillId="0" borderId="32" applyFont="0" applyFill="0" applyBorder="0" applyProtection="0">
      <alignment horizontal="right"/>
    </xf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Protection="0">
      <alignment horizontal="right"/>
    </xf>
    <xf numFmtId="238" fontId="31" fillId="0" borderId="0" applyFont="0" applyFill="0" applyBorder="0" applyProtection="0">
      <alignment horizontal="right"/>
    </xf>
    <xf numFmtId="238" fontId="1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40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Alignment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Alignment="0" applyProtection="0">
      <alignment vertical="top"/>
    </xf>
    <xf numFmtId="238" fontId="57" fillId="0" borderId="0" applyNumberFormat="0" applyFill="0" applyBorder="0" applyAlignment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Alignment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Alignment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Alignment="0" applyProtection="0">
      <alignment vertical="top"/>
    </xf>
    <xf numFmtId="238" fontId="57" fillId="0" borderId="0" applyNumberFormat="0" applyFill="0" applyBorder="0" applyAlignment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Alignment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Alignment="0" applyProtection="0">
      <alignment vertical="top"/>
    </xf>
    <xf numFmtId="238" fontId="57" fillId="0" borderId="0" applyNumberFormat="0" applyFill="0" applyBorder="0" applyAlignment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Alignment="0" applyProtection="0"/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Alignment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7" fillId="0" borderId="0" applyNumberFormat="0" applyFill="0" applyBorder="0" applyProtection="0">
      <alignment vertical="top"/>
    </xf>
    <xf numFmtId="238" fontId="55" fillId="0" borderId="32" applyNumberFormat="0" applyFill="0" applyAlignment="0" applyProtection="0"/>
    <xf numFmtId="238" fontId="55" fillId="0" borderId="32" applyNumberFormat="0" applyFill="0" applyAlignment="0" applyProtection="0"/>
    <xf numFmtId="238" fontId="55" fillId="0" borderId="32" applyNumberFormat="0" applyFill="0" applyAlignment="0" applyProtection="0"/>
    <xf numFmtId="238" fontId="55" fillId="0" borderId="32" applyNumberFormat="0" applyFill="0" applyAlignment="0" applyProtection="0"/>
    <xf numFmtId="238" fontId="55" fillId="0" borderId="32" applyNumberFormat="0" applyFill="0" applyAlignment="0" applyProtection="0"/>
    <xf numFmtId="238" fontId="55" fillId="0" borderId="32" applyNumberFormat="0" applyFill="0" applyAlignment="0" applyProtection="0"/>
    <xf numFmtId="238" fontId="55" fillId="0" borderId="32" applyNumberFormat="0" applyFill="0" applyAlignment="0" applyProtection="0"/>
    <xf numFmtId="238" fontId="55" fillId="0" borderId="32" applyNumberFormat="0" applyFill="0" applyAlignment="0" applyProtection="0"/>
    <xf numFmtId="238" fontId="55" fillId="0" borderId="33" applyNumberFormat="0" applyFill="0" applyAlignment="0" applyProtection="0"/>
    <xf numFmtId="238" fontId="55" fillId="0" borderId="32" applyNumberFormat="0" applyFill="0" applyAlignment="0" applyProtection="0"/>
    <xf numFmtId="238" fontId="55" fillId="0" borderId="33" applyNumberFormat="0" applyFill="0" applyAlignment="0" applyProtection="0"/>
    <xf numFmtId="238" fontId="55" fillId="0" borderId="33" applyNumberFormat="0" applyFill="0" applyAlignment="0" applyProtection="0"/>
    <xf numFmtId="238" fontId="55" fillId="0" borderId="32" applyNumberFormat="0" applyFill="0" applyAlignment="0" applyProtection="0"/>
    <xf numFmtId="238" fontId="55" fillId="0" borderId="32" applyNumberFormat="0" applyFill="0" applyAlignment="0" applyProtection="0"/>
    <xf numFmtId="238" fontId="55" fillId="0" borderId="32" applyNumberFormat="0" applyFill="0" applyAlignment="0" applyProtection="0"/>
    <xf numFmtId="238" fontId="55" fillId="0" borderId="32" applyNumberFormat="0" applyFill="0" applyAlignment="0" applyProtection="0"/>
    <xf numFmtId="238" fontId="55" fillId="0" borderId="33" applyNumberFormat="0" applyFill="0" applyAlignment="0" applyProtection="0"/>
    <xf numFmtId="238" fontId="55" fillId="0" borderId="32" applyNumberFormat="0" applyFill="0" applyAlignment="0" applyProtection="0"/>
    <xf numFmtId="238" fontId="55" fillId="0" borderId="32" applyNumberFormat="0" applyFill="0" applyAlignment="0" applyProtection="0"/>
    <xf numFmtId="238" fontId="55" fillId="0" borderId="32" applyNumberFormat="0" applyFill="0" applyAlignment="0" applyProtection="0"/>
    <xf numFmtId="238" fontId="55" fillId="0" borderId="33" applyNumberFormat="0" applyFill="0" applyAlignment="0" applyProtection="0"/>
    <xf numFmtId="238" fontId="1" fillId="0" borderId="0"/>
    <xf numFmtId="238" fontId="55" fillId="0" borderId="32" applyNumberFormat="0" applyFill="0" applyAlignment="0" applyProtection="0"/>
    <xf numFmtId="238" fontId="55" fillId="0" borderId="32" applyNumberFormat="0" applyFill="0" applyAlignment="0" applyProtection="0"/>
    <xf numFmtId="238" fontId="55" fillId="0" borderId="33" applyNumberFormat="0" applyFill="0" applyAlignment="0" applyProtection="0"/>
    <xf numFmtId="238" fontId="55" fillId="0" borderId="0" applyNumberFormat="0" applyFill="0" applyBorder="0" applyAlignment="0" applyProtection="0"/>
    <xf numFmtId="238" fontId="55" fillId="0" borderId="32" applyNumberFormat="0" applyFill="0" applyAlignment="0" applyProtection="0"/>
    <xf numFmtId="238" fontId="55" fillId="0" borderId="32" applyNumberFormat="0" applyFill="0" applyAlignment="0" applyProtection="0"/>
    <xf numFmtId="238" fontId="55" fillId="0" borderId="32" applyNumberFormat="0" applyFill="0" applyAlignment="0" applyProtection="0"/>
    <xf numFmtId="238" fontId="55" fillId="0" borderId="33" applyNumberFormat="0" applyFill="0" applyAlignment="0" applyProtection="0"/>
    <xf numFmtId="238" fontId="55" fillId="0" borderId="32" applyNumberFormat="0" applyFill="0" applyAlignment="0" applyProtection="0"/>
    <xf numFmtId="238" fontId="55" fillId="0" borderId="32" applyNumberFormat="0" applyFill="0" applyAlignment="0" applyProtection="0"/>
    <xf numFmtId="238" fontId="55" fillId="0" borderId="32" applyNumberFormat="0" applyFill="0" applyAlignment="0" applyProtection="0"/>
    <xf numFmtId="238" fontId="55" fillId="0" borderId="32" applyNumberFormat="0" applyFill="0" applyAlignment="0" applyProtection="0"/>
    <xf numFmtId="238" fontId="4" fillId="0" borderId="34" applyNumberFormat="0" applyFill="0" applyProtection="0">
      <alignment horizontal="center"/>
    </xf>
    <xf numFmtId="238" fontId="4" fillId="0" borderId="34" applyNumberFormat="0" applyFill="0" applyProtection="0">
      <alignment horizontal="center"/>
    </xf>
    <xf numFmtId="238" fontId="4" fillId="0" borderId="34" applyNumberFormat="0" applyFill="0" applyProtection="0">
      <alignment horizontal="center"/>
    </xf>
    <xf numFmtId="238" fontId="4" fillId="0" borderId="34" applyNumberFormat="0" applyFill="0" applyProtection="0">
      <alignment horizontal="center"/>
    </xf>
    <xf numFmtId="238" fontId="4" fillId="0" borderId="34" applyNumberFormat="0" applyFill="0" applyProtection="0">
      <alignment horizontal="center"/>
    </xf>
    <xf numFmtId="238" fontId="58" fillId="0" borderId="34" applyNumberFormat="0" applyFill="0" applyProtection="0">
      <alignment horizontal="center"/>
    </xf>
    <xf numFmtId="238" fontId="58" fillId="0" borderId="34" applyNumberFormat="0" applyFill="0" applyProtection="0">
      <alignment horizontal="center"/>
    </xf>
    <xf numFmtId="238" fontId="4" fillId="0" borderId="34" applyNumberFormat="0" applyFill="0" applyProtection="0">
      <alignment horizontal="center"/>
    </xf>
    <xf numFmtId="238" fontId="4" fillId="0" borderId="34" applyNumberFormat="0" applyFill="0" applyProtection="0">
      <alignment horizontal="center"/>
    </xf>
    <xf numFmtId="238" fontId="4" fillId="0" borderId="34" applyNumberFormat="0" applyFill="0" applyProtection="0">
      <alignment horizontal="center"/>
    </xf>
    <xf numFmtId="238" fontId="4" fillId="0" borderId="34" applyNumberFormat="0" applyFill="0" applyProtection="0">
      <alignment horizontal="center"/>
    </xf>
    <xf numFmtId="238" fontId="4" fillId="0" borderId="34" applyNumberFormat="0" applyFill="0" applyProtection="0">
      <alignment horizontal="center"/>
    </xf>
    <xf numFmtId="238" fontId="58" fillId="0" borderId="34" applyNumberFormat="0" applyFill="0" applyProtection="0">
      <alignment horizontal="center"/>
    </xf>
    <xf numFmtId="238" fontId="4" fillId="0" borderId="34" applyNumberFormat="0" applyFill="0" applyProtection="0">
      <alignment horizontal="center"/>
    </xf>
    <xf numFmtId="238" fontId="1" fillId="0" borderId="0"/>
    <xf numFmtId="238" fontId="4" fillId="0" borderId="34" applyNumberFormat="0" applyFill="0" applyProtection="0">
      <alignment horizontal="center"/>
    </xf>
    <xf numFmtId="238" fontId="4" fillId="0" borderId="34" applyNumberFormat="0" applyFill="0" applyProtection="0">
      <alignment horizontal="center"/>
    </xf>
    <xf numFmtId="238" fontId="1" fillId="0" borderId="35" applyNumberFormat="0" applyFont="0" applyFill="0" applyAlignment="0" applyProtection="0"/>
    <xf numFmtId="238" fontId="4" fillId="0" borderId="0" applyNumberFormat="0" applyFill="0" applyBorder="0" applyProtection="0">
      <alignment horizontal="left"/>
    </xf>
    <xf numFmtId="238" fontId="4" fillId="0" borderId="0" applyNumberFormat="0" applyFill="0" applyBorder="0" applyProtection="0">
      <alignment horizontal="left"/>
    </xf>
    <xf numFmtId="238" fontId="4" fillId="0" borderId="0" applyNumberFormat="0" applyFill="0" applyBorder="0" applyProtection="0">
      <alignment horizontal="left"/>
    </xf>
    <xf numFmtId="238" fontId="4" fillId="0" borderId="0" applyNumberFormat="0" applyFill="0" applyBorder="0" applyProtection="0">
      <alignment horizontal="left"/>
    </xf>
    <xf numFmtId="238" fontId="4" fillId="0" borderId="0" applyNumberFormat="0" applyFill="0" applyBorder="0" applyProtection="0">
      <alignment horizontal="left"/>
    </xf>
    <xf numFmtId="238" fontId="4" fillId="0" borderId="0" applyNumberFormat="0" applyFill="0" applyBorder="0" applyProtection="0">
      <alignment horizontal="left"/>
    </xf>
    <xf numFmtId="238" fontId="4" fillId="0" borderId="0" applyNumberFormat="0" applyFill="0" applyBorder="0" applyProtection="0">
      <alignment horizontal="left"/>
    </xf>
    <xf numFmtId="238" fontId="4" fillId="0" borderId="0" applyNumberFormat="0" applyFill="0" applyBorder="0" applyProtection="0">
      <alignment horizontal="left"/>
    </xf>
    <xf numFmtId="238" fontId="4" fillId="0" borderId="0" applyNumberFormat="0" applyFill="0" applyBorder="0" applyProtection="0">
      <alignment horizontal="left"/>
    </xf>
    <xf numFmtId="238" fontId="1" fillId="0" borderId="0"/>
    <xf numFmtId="238" fontId="4" fillId="0" borderId="0" applyNumberFormat="0" applyFill="0" applyBorder="0" applyProtection="0">
      <alignment horizontal="left"/>
    </xf>
    <xf numFmtId="238" fontId="4" fillId="0" borderId="0" applyNumberFormat="0" applyFill="0" applyBorder="0" applyProtection="0">
      <alignment horizontal="left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60" fillId="0" borderId="0" applyNumberFormat="0" applyFill="0" applyBorder="0" applyProtection="0">
      <alignment horizontal="centerContinuous"/>
    </xf>
    <xf numFmtId="238" fontId="59" fillId="0" borderId="0" applyNumberFormat="0" applyFill="0" applyProtection="0">
      <alignment horizontal="centerContinuous"/>
    </xf>
    <xf numFmtId="238" fontId="60" fillId="0" borderId="0" applyNumberFormat="0" applyFill="0" applyBorder="0" applyProtection="0">
      <alignment horizontal="centerContinuous"/>
    </xf>
    <xf numFmtId="238" fontId="59" fillId="0" borderId="0" applyNumberFormat="0" applyFill="0" applyProtection="0">
      <alignment horizontal="centerContinuous"/>
    </xf>
    <xf numFmtId="238" fontId="59" fillId="0" borderId="0" applyNumberFormat="0" applyFill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Protection="0">
      <alignment horizontal="centerContinuous"/>
    </xf>
    <xf numFmtId="238" fontId="59" fillId="0" borderId="0" applyNumberFormat="0" applyFont="0" applyFill="0" applyBorder="0" applyAlignment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60" fillId="0" borderId="0" applyNumberFormat="0" applyFill="0" applyBorder="0" applyProtection="0">
      <alignment horizontal="centerContinuous"/>
    </xf>
    <xf numFmtId="238" fontId="59" fillId="0" borderId="0" applyNumberFormat="0" applyFill="0" applyProtection="0">
      <alignment horizontal="centerContinuous"/>
    </xf>
    <xf numFmtId="238" fontId="1" fillId="0" borderId="0"/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59" fillId="0" borderId="0" applyNumberFormat="0" applyFill="0" applyBorder="0" applyProtection="0">
      <alignment horizontal="centerContinuous"/>
    </xf>
    <xf numFmtId="238" fontId="1" fillId="0" borderId="0" applyFont="0" applyFill="0" applyBorder="0" applyAlignment="0" applyProtection="0"/>
    <xf numFmtId="238" fontId="31" fillId="0" borderId="0"/>
    <xf numFmtId="238" fontId="31" fillId="0" borderId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6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61" fillId="0" borderId="0" applyFont="0" applyFill="0" applyBorder="0" applyAlignment="0" applyProtection="0"/>
    <xf numFmtId="238" fontId="1" fillId="0" borderId="0"/>
    <xf numFmtId="238" fontId="1" fillId="0" borderId="0"/>
    <xf numFmtId="238" fontId="50" fillId="0" borderId="0"/>
    <xf numFmtId="238" fontId="50" fillId="0" borderId="0"/>
    <xf numFmtId="238" fontId="63" fillId="0" borderId="0">
      <alignment horizontal="right"/>
    </xf>
    <xf numFmtId="238" fontId="63" fillId="0" borderId="0"/>
    <xf numFmtId="238" fontId="50" fillId="0" borderId="0"/>
    <xf numFmtId="238" fontId="31" fillId="0" borderId="0" applyFont="0" applyFill="0" applyBorder="0" applyAlignment="0" applyProtection="0">
      <alignment horizontal="right"/>
    </xf>
    <xf numFmtId="238" fontId="31" fillId="0" borderId="0" applyFont="0" applyFill="0" applyBorder="0" applyAlignment="0" applyProtection="0">
      <alignment horizontal="right"/>
    </xf>
    <xf numFmtId="238" fontId="31" fillId="0" borderId="0">
      <alignment horizontal="left"/>
    </xf>
    <xf numFmtId="238" fontId="31" fillId="0" borderId="0">
      <alignment horizontal="left"/>
    </xf>
    <xf numFmtId="238" fontId="31" fillId="0" borderId="0"/>
    <xf numFmtId="238" fontId="65" fillId="0" borderId="0">
      <alignment horizontal="center"/>
    </xf>
    <xf numFmtId="238" fontId="54" fillId="0" borderId="0" applyFont="0" applyFill="0" applyBorder="0" applyAlignment="0" applyProtection="0"/>
    <xf numFmtId="238" fontId="66" fillId="17" borderId="0"/>
    <xf numFmtId="238" fontId="48" fillId="16" borderId="38" applyBorder="0">
      <alignment horizontal="center"/>
    </xf>
    <xf numFmtId="238" fontId="31" fillId="0" borderId="0" applyFont="0" applyFill="0" applyBorder="0" applyAlignment="0" applyProtection="0"/>
    <xf numFmtId="238" fontId="31" fillId="21" borderId="0" applyNumberFormat="0" applyFont="0" applyBorder="0" applyAlignment="0">
      <alignment horizontal="right"/>
    </xf>
    <xf numFmtId="238" fontId="31" fillId="3" borderId="39">
      <alignment horizontal="center" vertical="center"/>
    </xf>
    <xf numFmtId="238" fontId="31" fillId="21" borderId="40" applyFont="0">
      <alignment horizontal="right"/>
    </xf>
    <xf numFmtId="238" fontId="31" fillId="0" borderId="0" applyNumberFormat="0" applyFill="0" applyBorder="0" applyAlignment="0" applyProtection="0"/>
    <xf numFmtId="238" fontId="36" fillId="0" borderId="0" applyNumberFormat="0" applyFill="0" applyBorder="0" applyAlignment="0" applyProtection="0"/>
    <xf numFmtId="238" fontId="1" fillId="0" borderId="0" applyFill="0" applyBorder="0" applyProtection="0">
      <protection locked="0"/>
    </xf>
    <xf numFmtId="238" fontId="49" fillId="0" borderId="0">
      <alignment horizontal="center" wrapText="1"/>
      <protection locked="0"/>
    </xf>
    <xf numFmtId="238" fontId="1" fillId="0" borderId="0" applyNumberFormat="0" applyFill="0" applyBorder="0" applyAlignment="0" applyProtection="0"/>
    <xf numFmtId="238" fontId="52" fillId="0" borderId="0" applyNumberFormat="0" applyFill="0" applyBorder="0" applyAlignment="0" applyProtection="0"/>
    <xf numFmtId="238" fontId="1" fillId="0" borderId="41" applyNumberFormat="0" applyFill="0" applyBorder="0" applyAlignment="0" applyProtection="0"/>
    <xf numFmtId="238" fontId="73" fillId="0" borderId="41" applyNumberFormat="0" applyFill="0" applyBorder="0" applyAlignment="0" applyProtection="0"/>
    <xf numFmtId="238" fontId="74" fillId="0" borderId="41" applyNumberFormat="0" applyFill="0" applyBorder="0" applyAlignment="0" applyProtection="0"/>
    <xf numFmtId="238" fontId="31" fillId="0" borderId="41" applyNumberFormat="0" applyFill="0" applyAlignment="0" applyProtection="0"/>
    <xf numFmtId="238" fontId="75" fillId="0" borderId="0" applyNumberFormat="0" applyProtection="0"/>
    <xf numFmtId="238" fontId="76" fillId="0" borderId="42" applyNumberFormat="0" applyFill="0" applyAlignment="0" applyProtection="0"/>
    <xf numFmtId="238" fontId="54" fillId="0" borderId="30" applyNumberFormat="0" applyFont="0" applyFill="0" applyAlignment="0" applyProtection="0"/>
    <xf numFmtId="238" fontId="54" fillId="0" borderId="43" applyNumberFormat="0" applyFont="0" applyFill="0" applyAlignment="0" applyProtection="0"/>
    <xf numFmtId="238" fontId="54" fillId="0" borderId="0" applyFont="0" applyFill="0" applyBorder="0" applyAlignment="0" applyProtection="0"/>
    <xf numFmtId="238" fontId="31" fillId="0" borderId="0"/>
    <xf numFmtId="238" fontId="49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>
      <alignment horizontal="right"/>
    </xf>
    <xf numFmtId="238" fontId="40" fillId="0" borderId="0"/>
    <xf numFmtId="238" fontId="78" fillId="0" borderId="0" applyNumberFormat="0" applyFill="0" applyBorder="0" applyAlignment="0" applyProtection="0"/>
    <xf numFmtId="238" fontId="1" fillId="0" borderId="0" applyNumberFormat="0" applyFill="0" applyBorder="0" applyAlignment="0" applyProtection="0"/>
    <xf numFmtId="238" fontId="33" fillId="2" borderId="0" applyNumberFormat="0" applyFill="0" applyBorder="0" applyAlignment="0" applyProtection="0">
      <protection locked="0"/>
    </xf>
    <xf numFmtId="238" fontId="31" fillId="0" borderId="0" applyNumberFormat="0" applyFont="0" applyAlignment="0"/>
    <xf numFmtId="238" fontId="45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79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45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45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81" fillId="24" borderId="45" applyFill="0" applyBorder="0" applyProtection="0">
      <alignment horizontal="left"/>
    </xf>
    <xf numFmtId="238" fontId="82" fillId="0" borderId="0" applyNumberFormat="0" applyFill="0" applyBorder="0" applyAlignment="0" applyProtection="0"/>
    <xf numFmtId="238" fontId="84" fillId="0" borderId="0"/>
    <xf numFmtId="238" fontId="83" fillId="17" borderId="47">
      <alignment horizontal="center"/>
    </xf>
    <xf numFmtId="238" fontId="54" fillId="0" borderId="0" applyBorder="0" applyProtection="0"/>
    <xf numFmtId="238" fontId="1" fillId="0" borderId="0"/>
    <xf numFmtId="238" fontId="42" fillId="0" borderId="0" applyNumberFormat="0" applyFill="0" applyBorder="0" applyAlignment="0" applyProtection="0"/>
    <xf numFmtId="238" fontId="88" fillId="0" borderId="30" applyNumberFormat="0" applyFill="0" applyAlignment="0" applyProtection="0"/>
    <xf numFmtId="238" fontId="1" fillId="2" borderId="5" applyNumberFormat="0" applyFill="0" applyBorder="0" applyAlignment="0" applyProtection="0">
      <protection locked="0"/>
    </xf>
    <xf numFmtId="238" fontId="49" fillId="0" borderId="31" applyNumberFormat="0" applyFont="0" applyFill="0" applyAlignment="0" applyProtection="0"/>
    <xf numFmtId="238" fontId="49" fillId="0" borderId="48" applyNumberFormat="0" applyFont="0" applyFill="0" applyAlignment="0" applyProtection="0"/>
    <xf numFmtId="238" fontId="35" fillId="0" borderId="30" applyNumberFormat="0" applyFont="0" applyFill="0" applyAlignment="0" applyProtection="0"/>
    <xf numFmtId="238" fontId="35" fillId="0" borderId="6" applyNumberFormat="0" applyFont="0" applyFill="0" applyAlignment="0" applyProtection="0"/>
    <xf numFmtId="238" fontId="35" fillId="0" borderId="5" applyNumberFormat="0" applyFont="0" applyFill="0" applyAlignment="0" applyProtection="0"/>
    <xf numFmtId="238" fontId="35" fillId="0" borderId="37" applyNumberFormat="0" applyFont="0" applyFill="0" applyAlignment="0" applyProtection="0"/>
    <xf numFmtId="238" fontId="1" fillId="0" borderId="49" applyFill="0" applyProtection="0">
      <alignment horizontal="right"/>
    </xf>
    <xf numFmtId="238" fontId="31" fillId="0" borderId="0" applyFont="0" applyFill="0" applyBorder="0" applyProtection="0">
      <alignment horizontal="left"/>
    </xf>
    <xf numFmtId="238" fontId="31" fillId="0" borderId="0" applyFont="0" applyFill="0" applyBorder="0" applyProtection="0">
      <alignment horizontal="left"/>
    </xf>
    <xf numFmtId="238" fontId="31" fillId="0" borderId="0" applyFont="0" applyFill="0" applyBorder="0" applyProtection="0">
      <alignment horizontal="left"/>
    </xf>
    <xf numFmtId="238" fontId="91" fillId="0" borderId="0" applyNumberFormat="0" applyFill="0" applyBorder="0" applyAlignment="0" applyProtection="0"/>
    <xf numFmtId="238" fontId="92" fillId="0" borderId="0"/>
    <xf numFmtId="238" fontId="42" fillId="0" borderId="31">
      <alignment horizontal="center"/>
    </xf>
    <xf numFmtId="238" fontId="1" fillId="0" borderId="0"/>
    <xf numFmtId="238" fontId="45" fillId="0" borderId="0" applyFont="0" applyFill="0" applyBorder="0" applyAlignment="0" applyProtection="0"/>
    <xf numFmtId="238" fontId="31" fillId="0" borderId="0"/>
    <xf numFmtId="238" fontId="35" fillId="0" borderId="0" applyFill="0" applyBorder="0" applyAlignment="0"/>
    <xf numFmtId="238" fontId="1" fillId="0" borderId="0" applyFill="0" applyBorder="0" applyAlignment="0"/>
    <xf numFmtId="238" fontId="1" fillId="0" borderId="0" applyFill="0" applyBorder="0" applyAlignment="0"/>
    <xf numFmtId="238" fontId="1" fillId="0" borderId="0" applyFill="0" applyBorder="0" applyAlignment="0"/>
    <xf numFmtId="238" fontId="1" fillId="0" borderId="0" applyFill="0" applyBorder="0" applyAlignment="0"/>
    <xf numFmtId="238" fontId="93" fillId="0" borderId="0" applyFill="0" applyBorder="0" applyAlignment="0"/>
    <xf numFmtId="238" fontId="93" fillId="0" borderId="0" applyFill="0" applyBorder="0" applyAlignment="0"/>
    <xf numFmtId="238" fontId="1" fillId="0" borderId="0" applyFill="0" applyBorder="0" applyAlignment="0"/>
    <xf numFmtId="238" fontId="94" fillId="0" borderId="0"/>
    <xf numFmtId="238" fontId="31" fillId="0" borderId="0">
      <alignment horizontal="left"/>
    </xf>
    <xf numFmtId="238" fontId="49" fillId="0" borderId="0" applyFill="0" applyBorder="0" applyProtection="0"/>
    <xf numFmtId="238" fontId="1" fillId="0" borderId="0" applyFont="0" applyFill="0" applyBorder="0" applyAlignment="0" applyProtection="0"/>
    <xf numFmtId="238" fontId="95" fillId="0" borderId="0"/>
    <xf numFmtId="238" fontId="96" fillId="24" borderId="61"/>
    <xf numFmtId="238" fontId="45" fillId="0" borderId="0"/>
    <xf numFmtId="238" fontId="88" fillId="0" borderId="30" applyNumberFormat="0" applyFont="0" applyFill="0" applyProtection="0">
      <alignment horizontal="centerContinuous" vertical="center"/>
    </xf>
    <xf numFmtId="238" fontId="71" fillId="0" borderId="0" applyFill="0" applyBorder="0" applyProtection="0">
      <alignment horizontal="center"/>
      <protection locked="0"/>
    </xf>
    <xf numFmtId="238" fontId="97" fillId="0" borderId="0">
      <alignment horizontal="center" wrapText="1"/>
    </xf>
    <xf numFmtId="238" fontId="54" fillId="0" borderId="28" applyFont="0" applyFill="0" applyAlignment="0" applyProtection="0"/>
    <xf numFmtId="238" fontId="99" fillId="0" borderId="0" applyProtection="0"/>
    <xf numFmtId="238" fontId="31" fillId="0" borderId="0" applyNumberFormat="0" applyFill="0" applyBorder="0" applyAlignment="0" applyProtection="0"/>
    <xf numFmtId="238" fontId="100" fillId="0" borderId="0" applyNumberFormat="0" applyFill="0" applyBorder="0" applyAlignment="0" applyProtection="0"/>
    <xf numFmtId="238" fontId="101" fillId="0" borderId="30" applyNumberFormat="0" applyFill="0" applyBorder="0" applyAlignment="0" applyProtection="0">
      <alignment horizontal="center"/>
    </xf>
    <xf numFmtId="238" fontId="1" fillId="0" borderId="0">
      <alignment horizontal="center" wrapText="1"/>
      <protection hidden="1"/>
    </xf>
    <xf numFmtId="238" fontId="39" fillId="0" borderId="30" applyNumberFormat="0" applyFill="0" applyBorder="0" applyProtection="0">
      <alignment horizontal="left" vertical="center"/>
    </xf>
    <xf numFmtId="238" fontId="39" fillId="0" borderId="30" applyNumberFormat="0" applyFill="0" applyBorder="0" applyProtection="0">
      <alignment horizontal="right" vertical="center"/>
    </xf>
    <xf numFmtId="238" fontId="81" fillId="27" borderId="61" applyNumberFormat="0" applyBorder="0" applyProtection="0">
      <alignment horizontal="center" vertical="center" wrapText="1"/>
    </xf>
    <xf numFmtId="238" fontId="31" fillId="0" borderId="0" applyFill="0" applyBorder="0" applyProtection="0">
      <alignment horizontal="center"/>
    </xf>
    <xf numFmtId="238" fontId="73" fillId="0" borderId="0" applyNumberFormat="0" applyFill="0" applyBorder="0" applyProtection="0">
      <alignment wrapText="1"/>
    </xf>
    <xf numFmtId="238" fontId="97" fillId="0" borderId="0" applyNumberFormat="0" applyFill="0" applyBorder="0" applyProtection="0">
      <alignment wrapText="1"/>
    </xf>
    <xf numFmtId="238" fontId="73" fillId="0" borderId="0" applyBorder="0">
      <alignment horizontal="right"/>
    </xf>
    <xf numFmtId="238" fontId="73" fillId="0" borderId="31" applyAlignment="0">
      <alignment horizontal="right"/>
    </xf>
    <xf numFmtId="238" fontId="66" fillId="0" borderId="0">
      <alignment horizontal="right"/>
    </xf>
    <xf numFmtId="238" fontId="45" fillId="0" borderId="0"/>
    <xf numFmtId="238" fontId="104" fillId="0" borderId="0"/>
    <xf numFmtId="238" fontId="104" fillId="0" borderId="0"/>
    <xf numFmtId="238" fontId="104" fillId="0" borderId="0"/>
    <xf numFmtId="238" fontId="104" fillId="0" borderId="0"/>
    <xf numFmtId="238" fontId="104" fillId="0" borderId="0"/>
    <xf numFmtId="238" fontId="104" fillId="0" borderId="0"/>
    <xf numFmtId="238" fontId="104" fillId="0" borderId="0"/>
    <xf numFmtId="238" fontId="104" fillId="0" borderId="0"/>
    <xf numFmtId="238" fontId="93" fillId="0" borderId="0" applyFont="0" applyFill="0" applyBorder="0" applyAlignment="0" applyProtection="0"/>
    <xf numFmtId="238" fontId="31" fillId="0" borderId="37"/>
    <xf numFmtId="238" fontId="45" fillId="0" borderId="0" applyFont="0" applyFill="0" applyBorder="0" applyAlignment="0" applyProtection="0"/>
    <xf numFmtId="238" fontId="54" fillId="0" borderId="0" applyFont="0" applyFill="0" applyBorder="0" applyAlignment="0" applyProtection="0">
      <alignment horizontal="right"/>
    </xf>
    <xf numFmtId="238" fontId="54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31" fillId="0" borderId="0"/>
    <xf numFmtId="238" fontId="31" fillId="0" borderId="0"/>
    <xf numFmtId="238" fontId="108" fillId="0" borderId="0"/>
    <xf numFmtId="238" fontId="104" fillId="0" borderId="0"/>
    <xf numFmtId="238" fontId="35" fillId="0" borderId="0" applyFont="0" applyFill="0" applyBorder="0" applyAlignment="0" applyProtection="0"/>
    <xf numFmtId="238" fontId="108" fillId="0" borderId="0"/>
    <xf numFmtId="238" fontId="104" fillId="0" borderId="0"/>
    <xf numFmtId="238" fontId="31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49" fillId="0" borderId="0" applyFont="0" applyFill="0" applyBorder="0" applyAlignment="0" applyProtection="0"/>
    <xf numFmtId="238" fontId="45" fillId="0" borderId="0">
      <alignment horizontal="right"/>
    </xf>
    <xf numFmtId="238" fontId="110" fillId="0" borderId="0"/>
    <xf numFmtId="238" fontId="111" fillId="28" borderId="0">
      <alignment horizontal="center" vertical="center" wrapText="1"/>
    </xf>
    <xf numFmtId="238" fontId="112" fillId="0" borderId="0" applyFill="0" applyBorder="0" applyAlignment="0" applyProtection="0">
      <protection locked="0"/>
    </xf>
    <xf numFmtId="238" fontId="99" fillId="0" borderId="0" applyFill="0" applyBorder="0">
      <alignment horizontal="left"/>
    </xf>
    <xf numFmtId="238" fontId="113" fillId="0" borderId="0" applyNumberFormat="0" applyAlignment="0">
      <alignment horizontal="left"/>
    </xf>
    <xf numFmtId="238" fontId="54" fillId="0" borderId="50" applyFont="0" applyFill="0" applyBorder="0" applyAlignment="0" applyProtection="0"/>
    <xf numFmtId="238" fontId="114" fillId="0" borderId="0">
      <alignment horizontal="left"/>
    </xf>
    <xf numFmtId="238" fontId="115" fillId="0" borderId="0"/>
    <xf numFmtId="238" fontId="116" fillId="0" borderId="0">
      <alignment horizontal="left"/>
    </xf>
    <xf numFmtId="238" fontId="31" fillId="1" borderId="0" applyFont="0" applyFill="0" applyBorder="0" applyAlignment="0" applyProtection="0">
      <alignment horizontal="right"/>
    </xf>
    <xf numFmtId="238" fontId="54" fillId="0" borderId="30"/>
    <xf numFmtId="238" fontId="45" fillId="0" borderId="0" applyFill="0" applyBorder="0">
      <alignment horizontal="right"/>
      <protection locked="0"/>
    </xf>
    <xf numFmtId="238" fontId="49" fillId="0" borderId="0" applyFont="0" applyFill="0" applyBorder="0" applyAlignment="0" applyProtection="0">
      <protection locked="0"/>
    </xf>
    <xf numFmtId="238" fontId="49" fillId="0" borderId="0" applyFont="0" applyFill="0" applyBorder="0" applyAlignment="0" applyProtection="0">
      <protection locked="0"/>
    </xf>
    <xf numFmtId="238" fontId="31" fillId="0" borderId="0" applyFont="0" applyFill="0" applyBorder="0" applyAlignment="0" applyProtection="0"/>
    <xf numFmtId="238" fontId="97" fillId="0" borderId="37"/>
    <xf numFmtId="238" fontId="1" fillId="0" borderId="0" applyFont="0" applyFill="0" applyBorder="0" applyAlignment="0" applyProtection="0"/>
    <xf numFmtId="238" fontId="117" fillId="0" borderId="0" applyFont="0" applyFill="0" applyBorder="0" applyAlignment="0" applyProtection="0"/>
    <xf numFmtId="238" fontId="97" fillId="0" borderId="37"/>
    <xf numFmtId="238" fontId="45" fillId="0" borderId="0" applyFont="0" applyFill="0" applyBorder="0" applyAlignment="0" applyProtection="0"/>
    <xf numFmtId="238" fontId="54" fillId="0" borderId="0" applyFont="0" applyFill="0" applyBorder="0" applyAlignment="0" applyProtection="0">
      <alignment horizontal="right"/>
    </xf>
    <xf numFmtId="238" fontId="63" fillId="0" borderId="11" applyBorder="0"/>
    <xf numFmtId="238" fontId="54" fillId="0" borderId="0" applyFont="0" applyFill="0" applyBorder="0" applyAlignment="0" applyProtection="0">
      <alignment horizontal="right"/>
    </xf>
    <xf numFmtId="238" fontId="120" fillId="0" borderId="0" applyFont="0" applyFill="0" applyBorder="0" applyAlignment="0" applyProtection="0"/>
    <xf numFmtId="238" fontId="45" fillId="0" borderId="0" applyFont="0" applyFill="0" applyBorder="0" applyAlignment="0" applyProtection="0"/>
    <xf numFmtId="238" fontId="107" fillId="0" borderId="0" applyFont="0" applyFill="0" applyBorder="0" applyAlignment="0" applyProtection="0"/>
    <xf numFmtId="238" fontId="35" fillId="0" borderId="0" applyFont="0" applyFill="0" applyBorder="0" applyAlignment="0" applyProtection="0"/>
    <xf numFmtId="238" fontId="105" fillId="0" borderId="0"/>
    <xf numFmtId="238" fontId="54" fillId="0" borderId="0" applyFill="0" applyBorder="0" applyProtection="0">
      <alignment vertical="center"/>
    </xf>
    <xf numFmtId="238" fontId="35" fillId="0" borderId="0" applyFont="0" applyFill="0" applyBorder="0" applyAlignment="0" applyProtection="0"/>
    <xf numFmtId="238" fontId="49" fillId="0" borderId="0" applyFont="0" applyFill="0" applyBorder="0" applyAlignment="0" applyProtection="0"/>
    <xf numFmtId="238" fontId="54" fillId="0" borderId="0"/>
    <xf numFmtId="238" fontId="54" fillId="2" borderId="0" applyFont="0" applyFill="0" applyBorder="0" applyAlignment="0" applyProtection="0">
      <alignment vertical="center"/>
      <protection locked="0"/>
    </xf>
    <xf numFmtId="238" fontId="54" fillId="2" borderId="0" applyFont="0" applyFill="0" applyBorder="0" applyAlignment="0" applyProtection="0">
      <alignment vertical="center"/>
      <protection locked="0"/>
    </xf>
    <xf numFmtId="238" fontId="121" fillId="2" borderId="0" applyFont="0" applyFill="0" applyBorder="0" applyAlignment="0" applyProtection="0">
      <alignment vertical="center"/>
      <protection locked="0"/>
    </xf>
    <xf numFmtId="238" fontId="54" fillId="2" borderId="0" applyFont="0" applyFill="0" applyBorder="0" applyAlignment="0" applyProtection="0">
      <alignment vertical="center"/>
      <protection locked="0"/>
    </xf>
    <xf numFmtId="238" fontId="54" fillId="2" borderId="0" applyFont="0" applyFill="0" applyBorder="0" applyAlignment="0" applyProtection="0">
      <alignment vertical="center"/>
      <protection locked="0"/>
    </xf>
    <xf numFmtId="238" fontId="31" fillId="16" borderId="5">
      <alignment horizontal="right"/>
    </xf>
    <xf numFmtId="238" fontId="31" fillId="16" borderId="5">
      <alignment horizontal="right"/>
    </xf>
    <xf numFmtId="238" fontId="31" fillId="16" borderId="5">
      <alignment horizontal="right"/>
    </xf>
    <xf numFmtId="238" fontId="31" fillId="16" borderId="5">
      <alignment horizontal="right"/>
    </xf>
    <xf numFmtId="238" fontId="61" fillId="0" borderId="0" applyFont="0" applyFill="0" applyBorder="0" applyAlignment="0" applyProtection="0"/>
    <xf numFmtId="238" fontId="54" fillId="0" borderId="0" applyNumberFormat="0">
      <alignment horizontal="right"/>
    </xf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Protection="0"/>
    <xf numFmtId="238" fontId="31" fillId="0" borderId="0" applyFont="0" applyFill="0" applyBorder="0" applyAlignment="0" applyProtection="0"/>
    <xf numFmtId="238" fontId="31" fillId="0" borderId="0" applyFont="0" applyFill="0" applyBorder="0" applyProtection="0"/>
    <xf numFmtId="238" fontId="31" fillId="0" borderId="0" applyFont="0" applyFill="0" applyBorder="0" applyAlignment="0" applyProtection="0"/>
    <xf numFmtId="238" fontId="45" fillId="0" borderId="0" applyFont="0" applyFill="0" applyBorder="0" applyAlignment="0" applyProtection="0"/>
    <xf numFmtId="238" fontId="45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54" fillId="0" borderId="0" applyFont="0" applyFill="0" applyBorder="0" applyAlignment="0" applyProtection="0"/>
    <xf numFmtId="238" fontId="54" fillId="0" borderId="0" applyFill="0" applyBorder="0" applyProtection="0">
      <alignment horizontal="center"/>
    </xf>
    <xf numFmtId="238" fontId="31" fillId="0" borderId="61" applyFont="0" applyFill="0" applyBorder="0" applyAlignment="0" applyProtection="0">
      <alignment horizontal="right"/>
    </xf>
    <xf numFmtId="238" fontId="54" fillId="0" borderId="0" applyFont="0" applyFill="0" applyBorder="0" applyAlignment="0" applyProtection="0">
      <alignment horizontal="center"/>
    </xf>
    <xf numFmtId="238" fontId="54" fillId="0" borderId="37" applyFont="0" applyFill="0" applyBorder="0" applyAlignment="0" applyProtection="0">
      <alignment horizontal="center"/>
    </xf>
    <xf numFmtId="238" fontId="42" fillId="0" borderId="0"/>
    <xf numFmtId="238" fontId="42" fillId="0" borderId="0"/>
    <xf numFmtId="238" fontId="49" fillId="0" borderId="0" applyFill="0" applyBorder="0" applyAlignment="0" applyProtection="0">
      <protection locked="0"/>
    </xf>
    <xf numFmtId="238" fontId="123" fillId="0" borderId="0"/>
    <xf numFmtId="238" fontId="49" fillId="0" borderId="0"/>
    <xf numFmtId="238" fontId="40" fillId="0" borderId="0"/>
    <xf numFmtId="238" fontId="31" fillId="0" borderId="0" applyFont="0" applyFill="0" applyBorder="0" applyAlignment="0" applyProtection="0"/>
    <xf numFmtId="238" fontId="124" fillId="0" borderId="0">
      <protection locked="0"/>
    </xf>
    <xf numFmtId="238" fontId="49" fillId="0" borderId="0" applyProtection="0"/>
    <xf numFmtId="238" fontId="104" fillId="0" borderId="0"/>
    <xf numFmtId="238" fontId="125" fillId="0" borderId="0" applyFill="0" applyBorder="0" applyProtection="0"/>
    <xf numFmtId="238" fontId="31" fillId="0" borderId="0"/>
    <xf numFmtId="238" fontId="1" fillId="0" borderId="0" applyFont="0" applyFill="0" applyBorder="0" applyAlignment="0" applyProtection="0"/>
    <xf numFmtId="238" fontId="54" fillId="0" borderId="43" applyNumberFormat="0" applyFont="0" applyFill="0" applyAlignment="0" applyProtection="0"/>
    <xf numFmtId="238" fontId="31" fillId="0" borderId="28" applyNumberFormat="0" applyFill="0" applyAlignment="0" applyProtection="0"/>
    <xf numFmtId="238" fontId="72" fillId="0" borderId="37" applyNumberFormat="0" applyBorder="0"/>
    <xf numFmtId="238" fontId="55" fillId="2" borderId="0">
      <alignment horizontal="right" vertical="center"/>
    </xf>
    <xf numFmtId="238" fontId="127" fillId="0" borderId="52" applyNumberFormat="0" applyAlignment="0" applyProtection="0">
      <alignment vertical="top"/>
    </xf>
    <xf numFmtId="238" fontId="1" fillId="0" borderId="0">
      <protection locked="0"/>
    </xf>
    <xf numFmtId="238" fontId="1" fillId="0" borderId="0">
      <protection locked="0"/>
    </xf>
    <xf numFmtId="238" fontId="93" fillId="0" borderId="0" applyFill="0" applyBorder="0" applyAlignment="0"/>
    <xf numFmtId="238" fontId="1" fillId="0" borderId="0" applyFill="0" applyBorder="0" applyAlignment="0"/>
    <xf numFmtId="238" fontId="93" fillId="0" borderId="0" applyFill="0" applyBorder="0" applyAlignment="0"/>
    <xf numFmtId="238" fontId="93" fillId="0" borderId="0" applyFill="0" applyBorder="0" applyAlignment="0"/>
    <xf numFmtId="238" fontId="1" fillId="0" borderId="0" applyFill="0" applyBorder="0" applyAlignment="0"/>
    <xf numFmtId="238" fontId="128" fillId="0" borderId="0" applyNumberFormat="0" applyAlignment="0">
      <alignment horizontal="left"/>
    </xf>
    <xf numFmtId="238" fontId="31" fillId="30" borderId="0"/>
    <xf numFmtId="238" fontId="31" fillId="30" borderId="0"/>
    <xf numFmtId="238" fontId="31" fillId="30" borderId="0"/>
    <xf numFmtId="238" fontId="31" fillId="0" borderId="0"/>
    <xf numFmtId="238" fontId="31" fillId="30" borderId="0"/>
    <xf numFmtId="238" fontId="31" fillId="0" borderId="0" applyFont="0" applyFill="0" applyBorder="0" applyProtection="0">
      <alignment horizontal="left"/>
      <protection locked="0"/>
    </xf>
    <xf numFmtId="238" fontId="31" fillId="0" borderId="0"/>
    <xf numFmtId="238" fontId="31" fillId="0" borderId="0" applyFont="0" applyFill="0" applyBorder="0" applyProtection="0">
      <alignment horizontal="left"/>
      <protection locked="0"/>
    </xf>
    <xf numFmtId="238" fontId="130" fillId="0" borderId="0"/>
    <xf numFmtId="238" fontId="130" fillId="0" borderId="0"/>
    <xf numFmtId="238" fontId="31" fillId="31" borderId="37" applyNumberFormat="0" applyFont="0" applyBorder="0" applyAlignment="0" applyProtection="0">
      <alignment horizontal="right"/>
    </xf>
    <xf numFmtId="238" fontId="66" fillId="0" borderId="0" applyFill="0" applyBorder="0">
      <alignment horizontal="right" vertical="top"/>
    </xf>
    <xf numFmtId="238" fontId="124" fillId="0" borderId="0">
      <protection locked="0"/>
    </xf>
    <xf numFmtId="238" fontId="124" fillId="0" borderId="0">
      <protection locked="0"/>
    </xf>
    <xf numFmtId="238" fontId="124" fillId="0" borderId="0">
      <protection locked="0"/>
    </xf>
    <xf numFmtId="238" fontId="124" fillId="0" borderId="0">
      <protection locked="0"/>
    </xf>
    <xf numFmtId="238" fontId="124" fillId="0" borderId="0">
      <protection locked="0"/>
    </xf>
    <xf numFmtId="238" fontId="124" fillId="0" borderId="0">
      <protection locked="0"/>
    </xf>
    <xf numFmtId="238" fontId="124" fillId="0" borderId="0">
      <protection locked="0"/>
    </xf>
    <xf numFmtId="238" fontId="124" fillId="0" borderId="0">
      <protection locked="0"/>
    </xf>
    <xf numFmtId="238" fontId="124" fillId="0" borderId="0">
      <protection locked="0"/>
    </xf>
    <xf numFmtId="238" fontId="63" fillId="0" borderId="0" applyFill="0" applyBorder="0">
      <alignment horizontal="right"/>
    </xf>
    <xf numFmtId="238" fontId="135" fillId="0" borderId="0">
      <alignment horizontal="left"/>
    </xf>
    <xf numFmtId="238" fontId="136" fillId="0" borderId="0">
      <alignment horizontal="left"/>
    </xf>
    <xf numFmtId="238" fontId="137" fillId="0" borderId="0" applyFill="0" applyBorder="0" applyProtection="0">
      <alignment horizontal="left"/>
    </xf>
    <xf numFmtId="238" fontId="137" fillId="0" borderId="0" applyNumberFormat="0" applyFill="0" applyBorder="0" applyProtection="0">
      <alignment horizontal="left"/>
    </xf>
    <xf numFmtId="238" fontId="138" fillId="0" borderId="0" applyNumberFormat="0" applyFill="0" applyBorder="0" applyAlignment="0" applyProtection="0"/>
    <xf numFmtId="238" fontId="40" fillId="0" borderId="0"/>
    <xf numFmtId="238" fontId="31" fillId="0" borderId="0"/>
    <xf numFmtId="238" fontId="139" fillId="0" borderId="0"/>
    <xf numFmtId="238" fontId="31" fillId="2" borderId="61" applyFont="0" applyBorder="0" applyAlignment="0" applyProtection="0">
      <alignment vertical="top"/>
    </xf>
    <xf numFmtId="238" fontId="1" fillId="0" borderId="0" applyBorder="0" applyProtection="0"/>
    <xf numFmtId="238" fontId="45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45" fillId="0" borderId="0" applyFont="0" applyFill="0" applyBorder="0" applyAlignment="0" applyProtection="0"/>
    <xf numFmtId="238" fontId="31" fillId="16" borderId="5">
      <alignment horizontal="right"/>
    </xf>
    <xf numFmtId="238" fontId="31" fillId="16" borderId="5">
      <alignment horizontal="right"/>
    </xf>
    <xf numFmtId="238" fontId="31" fillId="16" borderId="5">
      <alignment horizontal="right"/>
    </xf>
    <xf numFmtId="238" fontId="49" fillId="0" borderId="0" applyFill="0" applyBorder="0" applyAlignment="0" applyProtection="0">
      <protection locked="0"/>
    </xf>
    <xf numFmtId="238" fontId="141" fillId="0" borderId="0" applyFont="0" applyFill="0" applyBorder="0" applyProtection="0">
      <alignment horizontal="center" wrapText="1"/>
    </xf>
    <xf numFmtId="238" fontId="31" fillId="0" borderId="0" applyFont="0" applyFill="0" applyBorder="0" applyProtection="0">
      <alignment horizontal="right"/>
    </xf>
    <xf numFmtId="238" fontId="1" fillId="0" borderId="0">
      <alignment horizontal="center"/>
    </xf>
    <xf numFmtId="238" fontId="144" fillId="0" borderId="0"/>
    <xf numFmtId="238" fontId="31" fillId="1" borderId="0" applyFont="0" applyFill="0" applyBorder="0" applyAlignment="0" applyProtection="0">
      <alignment horizontal="right"/>
    </xf>
    <xf numFmtId="238" fontId="45" fillId="0" borderId="6" applyFill="0" applyBorder="0" applyProtection="0">
      <alignment horizontal="left"/>
    </xf>
    <xf numFmtId="238" fontId="54" fillId="0" borderId="0" applyNumberFormat="0" applyAlignment="0"/>
    <xf numFmtId="238" fontId="31" fillId="0" borderId="0"/>
    <xf numFmtId="238" fontId="31" fillId="0" borderId="0" applyNumberFormat="0" applyFill="0" applyBorder="0" applyAlignment="0" applyProtection="0"/>
    <xf numFmtId="238" fontId="54" fillId="0" borderId="0" applyFill="0" applyBorder="0" applyAlignment="0" applyProtection="0"/>
    <xf numFmtId="238" fontId="54" fillId="0" borderId="0" applyAlignment="0">
      <alignment horizontal="left"/>
      <protection locked="0"/>
    </xf>
    <xf numFmtId="238" fontId="145" fillId="2" borderId="0" applyAlignment="0">
      <alignment horizontal="right"/>
    </xf>
    <xf numFmtId="238" fontId="31" fillId="17" borderId="46" applyNumberFormat="0" applyAlignment="0" applyProtection="0"/>
    <xf numFmtId="238" fontId="5" fillId="0" borderId="0" applyBorder="0">
      <alignment horizontal="left"/>
    </xf>
    <xf numFmtId="238" fontId="1" fillId="15" borderId="61" applyNumberFormat="0" applyFont="0" applyBorder="0" applyAlignment="0" applyProtection="0"/>
    <xf numFmtId="238" fontId="1" fillId="33" borderId="61" applyNumberFormat="0" applyFont="0" applyAlignment="0"/>
    <xf numFmtId="238" fontId="54" fillId="0" borderId="0" applyFont="0" applyFill="0" applyBorder="0" applyAlignment="0" applyProtection="0">
      <alignment horizontal="right"/>
    </xf>
    <xf numFmtId="238" fontId="147" fillId="15" borderId="0" applyNumberFormat="0" applyFont="0" applyAlignment="0"/>
    <xf numFmtId="238" fontId="148" fillId="34" borderId="0" applyNumberFormat="0" applyBorder="0" applyProtection="0">
      <alignment horizontal="left" vertical="center"/>
    </xf>
    <xf numFmtId="238" fontId="149" fillId="0" borderId="0">
      <alignment horizontal="right"/>
    </xf>
    <xf numFmtId="238" fontId="150" fillId="1" borderId="0" applyNumberFormat="0" applyBorder="0" applyProtection="0">
      <alignment horizontal="left" vertical="center"/>
    </xf>
    <xf numFmtId="238" fontId="1" fillId="0" borderId="0" applyProtection="0">
      <alignment horizontal="right"/>
    </xf>
    <xf numFmtId="238" fontId="151" fillId="0" borderId="0">
      <alignment horizontal="left"/>
    </xf>
    <xf numFmtId="238" fontId="97" fillId="0" borderId="57" applyNumberFormat="0" applyAlignment="0" applyProtection="0">
      <alignment horizontal="left" vertical="center"/>
    </xf>
    <xf numFmtId="238" fontId="97" fillId="0" borderId="40">
      <alignment horizontal="left" vertical="center"/>
    </xf>
    <xf numFmtId="238" fontId="152" fillId="0" borderId="0">
      <alignment horizontal="center"/>
    </xf>
    <xf numFmtId="238" fontId="153" fillId="0" borderId="0"/>
    <xf numFmtId="238" fontId="1" fillId="0" borderId="0">
      <alignment horizontal="center"/>
    </xf>
    <xf numFmtId="238" fontId="154" fillId="0" borderId="0">
      <alignment horizontal="left"/>
    </xf>
    <xf numFmtId="238" fontId="155" fillId="0" borderId="6">
      <alignment horizontal="left" vertical="top"/>
    </xf>
    <xf numFmtId="238" fontId="39" fillId="0" borderId="0">
      <alignment horizontal="left"/>
    </xf>
    <xf numFmtId="238" fontId="31" fillId="0" borderId="0" applyNumberFormat="0" applyFill="0" applyBorder="0" applyAlignment="0" applyProtection="0"/>
    <xf numFmtId="238" fontId="1" fillId="0" borderId="0" applyNumberFormat="0" applyFill="0" applyBorder="0" applyAlignment="0" applyProtection="0"/>
    <xf numFmtId="238" fontId="1" fillId="0" borderId="0"/>
    <xf numFmtId="238" fontId="1" fillId="0" borderId="0"/>
    <xf numFmtId="238" fontId="1" fillId="0" borderId="0" applyFill="0" applyBorder="0" applyProtection="0">
      <protection locked="0"/>
    </xf>
    <xf numFmtId="238" fontId="30" fillId="0" borderId="0"/>
    <xf numFmtId="238" fontId="1" fillId="0" borderId="0"/>
    <xf numFmtId="238" fontId="31" fillId="0" borderId="0" applyNumberFormat="0" applyFill="0" applyBorder="0" applyAlignment="0" applyProtection="0"/>
    <xf numFmtId="238" fontId="1" fillId="0" borderId="0" applyNumberFormat="0" applyFill="0" applyBorder="0" applyAlignment="0" applyProtection="0"/>
    <xf numFmtId="238" fontId="100" fillId="0" borderId="0" applyNumberFormat="0" applyFill="0" applyBorder="0" applyAlignment="0" applyProtection="0"/>
    <xf numFmtId="238" fontId="1" fillId="0" borderId="0" applyNumberFormat="0" applyFill="0" applyBorder="0" applyAlignment="0" applyProtection="0"/>
    <xf numFmtId="238" fontId="157" fillId="0" borderId="0" applyFill="0" applyBorder="0" applyProtection="0">
      <alignment horizontal="left"/>
    </xf>
    <xf numFmtId="238" fontId="158" fillId="0" borderId="0" applyFill="0" applyBorder="0" applyProtection="0">
      <alignment horizontal="left"/>
    </xf>
    <xf numFmtId="238" fontId="31" fillId="0" borderId="0" applyNumberFormat="0" applyFill="0" applyBorder="0" applyAlignment="0" applyProtection="0"/>
    <xf numFmtId="238" fontId="1" fillId="0" borderId="0" applyNumberFormat="0" applyFill="0" applyBorder="0" applyAlignment="0" applyProtection="0"/>
    <xf numFmtId="238" fontId="45" fillId="29" borderId="0" applyNumberFormat="0" applyFont="0" applyBorder="0" applyAlignment="0" applyProtection="0"/>
    <xf numFmtId="238" fontId="44" fillId="0" borderId="0" applyNumberFormat="0" applyFill="0" applyBorder="0" applyAlignment="0" applyProtection="0"/>
    <xf numFmtId="238" fontId="1" fillId="0" borderId="0" applyNumberFormat="0" applyFill="0" applyBorder="0" applyAlignment="0" applyProtection="0"/>
    <xf numFmtId="238" fontId="1" fillId="0" borderId="0">
      <alignment vertical="top"/>
    </xf>
    <xf numFmtId="238" fontId="160" fillId="0" borderId="0" applyNumberFormat="0" applyFill="0" applyBorder="0" applyProtection="0"/>
    <xf numFmtId="238" fontId="161" fillId="35" borderId="0" applyNumberFormat="0" applyBorder="0" applyProtection="0"/>
    <xf numFmtId="238" fontId="162" fillId="29" borderId="0" applyNumberFormat="0" applyBorder="0" applyProtection="0"/>
    <xf numFmtId="238" fontId="33" fillId="0" borderId="0" applyNumberFormat="0" applyFill="0" applyBorder="0" applyProtection="0"/>
    <xf numFmtId="238" fontId="162" fillId="0" borderId="0" applyNumberFormat="0" applyFill="0" applyBorder="0" applyProtection="0"/>
    <xf numFmtId="238" fontId="163" fillId="0" borderId="0" applyNumberFormat="0" applyFill="0" applyBorder="0" applyProtection="0"/>
    <xf numFmtId="238" fontId="162" fillId="0" borderId="0" applyNumberFormat="0" applyFill="0" applyBorder="0" applyProtection="0">
      <alignment wrapText="1"/>
    </xf>
    <xf numFmtId="238" fontId="164" fillId="0" borderId="0" applyNumberFormat="0" applyFill="0" applyBorder="0" applyProtection="0"/>
    <xf numFmtId="238" fontId="1" fillId="0" borderId="0">
      <alignment vertical="top"/>
    </xf>
    <xf numFmtId="238" fontId="31" fillId="0" borderId="0" applyNumberFormat="0" applyFill="0" applyBorder="0" applyProtection="0">
      <alignment horizontal="left" vertical="top" wrapText="1"/>
    </xf>
    <xf numFmtId="238" fontId="73" fillId="0" borderId="0" applyNumberFormat="0" applyFill="0" applyBorder="0" applyProtection="0">
      <alignment horizontal="left" vertical="top" wrapText="1"/>
    </xf>
    <xf numFmtId="238" fontId="1" fillId="0" borderId="0"/>
    <xf numFmtId="238" fontId="1" fillId="0" borderId="0">
      <alignment vertical="top"/>
    </xf>
    <xf numFmtId="238" fontId="73" fillId="0" borderId="58" applyNumberFormat="0" applyFill="0" applyProtection="0">
      <alignment wrapText="1"/>
    </xf>
    <xf numFmtId="238" fontId="5" fillId="0" borderId="0" applyNumberFormat="0" applyFill="0" applyBorder="0" applyProtection="0">
      <alignment wrapText="1"/>
    </xf>
    <xf numFmtId="238" fontId="73" fillId="0" borderId="58" applyNumberFormat="0" applyFill="0" applyProtection="0">
      <alignment horizontal="center" wrapText="1"/>
    </xf>
    <xf numFmtId="238" fontId="97" fillId="0" borderId="0" applyNumberFormat="0" applyFill="0" applyBorder="0" applyProtection="0">
      <alignment horizontal="justify" wrapText="1"/>
    </xf>
    <xf numFmtId="238" fontId="73" fillId="0" borderId="0" applyNumberFormat="0" applyFill="0" applyBorder="0" applyProtection="0">
      <alignment horizontal="centerContinuous" wrapText="1"/>
    </xf>
    <xf numFmtId="238" fontId="1" fillId="0" borderId="0">
      <alignment vertical="top"/>
    </xf>
    <xf numFmtId="238" fontId="1" fillId="0" borderId="0">
      <alignment vertical="top"/>
    </xf>
    <xf numFmtId="238" fontId="1" fillId="0" borderId="0">
      <alignment vertical="top"/>
    </xf>
    <xf numFmtId="238" fontId="31" fillId="0" borderId="0" applyNumberFormat="0" applyFill="0" applyBorder="0" applyAlignment="0" applyProtection="0"/>
    <xf numFmtId="238" fontId="1" fillId="0" borderId="0">
      <alignment vertical="top"/>
    </xf>
    <xf numFmtId="238" fontId="31" fillId="0" borderId="0" applyNumberFormat="0" applyFill="0" applyBorder="0" applyAlignment="0" applyProtection="0"/>
    <xf numFmtId="238" fontId="31" fillId="0" borderId="0" applyNumberFormat="0" applyFill="0" applyBorder="0" applyAlignment="0" applyProtection="0"/>
    <xf numFmtId="238" fontId="1" fillId="0" borderId="0">
      <alignment vertical="top"/>
    </xf>
    <xf numFmtId="238" fontId="31" fillId="0" borderId="0" applyNumberFormat="0" applyFill="0" applyBorder="0" applyAlignment="0" applyProtection="0"/>
    <xf numFmtId="238" fontId="48" fillId="0" borderId="0" applyFill="0" applyBorder="0" applyProtection="0">
      <alignment horizontal="center" vertical="center"/>
    </xf>
    <xf numFmtId="238" fontId="1" fillId="0" borderId="0" applyBorder="0" applyProtection="0">
      <alignment vertical="center"/>
    </xf>
    <xf numFmtId="238" fontId="1" fillId="0" borderId="30" applyBorder="0" applyProtection="0">
      <alignment horizontal="right" vertical="center"/>
    </xf>
    <xf numFmtId="238" fontId="1" fillId="36" borderId="0" applyBorder="0" applyProtection="0">
      <alignment horizontal="centerContinuous" vertical="center"/>
    </xf>
    <xf numFmtId="238" fontId="1" fillId="37" borderId="30" applyBorder="0" applyProtection="0">
      <alignment horizontal="centerContinuous" vertical="center"/>
    </xf>
    <xf numFmtId="238" fontId="48" fillId="0" borderId="0" applyFill="0" applyBorder="0" applyProtection="0"/>
    <xf numFmtId="238" fontId="5" fillId="0" borderId="0" applyFill="0" applyBorder="0" applyProtection="0">
      <alignment horizontal="left"/>
    </xf>
    <xf numFmtId="238" fontId="145" fillId="0" borderId="0" applyFill="0" applyBorder="0" applyProtection="0">
      <alignment horizontal="left" vertical="top"/>
    </xf>
    <xf numFmtId="238" fontId="1" fillId="2" borderId="59" applyNumberFormat="0" applyFont="0" applyFill="0" applyAlignment="0" applyProtection="0">
      <protection locked="0"/>
    </xf>
    <xf numFmtId="238" fontId="1" fillId="0" borderId="0" applyNumberFormat="0" applyFill="0" applyBorder="0" applyAlignment="0" applyProtection="0"/>
    <xf numFmtId="238" fontId="61" fillId="0" borderId="0" applyNumberFormat="0" applyFill="0" applyBorder="0" applyAlignment="0" applyProtection="0"/>
    <xf numFmtId="238" fontId="97" fillId="0" borderId="0" applyNumberFormat="0" applyFill="0" applyBorder="0" applyAlignment="0" applyProtection="0"/>
    <xf numFmtId="238" fontId="1" fillId="0" borderId="0" applyNumberFormat="0" applyFill="0" applyBorder="0" applyAlignment="0" applyProtection="0"/>
    <xf numFmtId="238" fontId="1" fillId="0" borderId="0">
      <alignment horizontal="center"/>
    </xf>
    <xf numFmtId="238" fontId="1" fillId="0" borderId="0" applyNumberFormat="0" applyFill="0" applyBorder="0" applyAlignment="0" applyProtection="0"/>
    <xf numFmtId="238" fontId="1" fillId="0" borderId="0" applyNumberFormat="0" applyFill="0" applyBorder="0" applyAlignment="0" applyProtection="0"/>
    <xf numFmtId="238" fontId="30" fillId="0" borderId="0"/>
    <xf numFmtId="238" fontId="55" fillId="0" borderId="33" applyNumberFormat="0" applyFill="0" applyAlignment="0" applyProtection="0"/>
    <xf numFmtId="238" fontId="55" fillId="0" borderId="33" applyNumberFormat="0" applyFill="0" applyAlignment="0" applyProtection="0"/>
    <xf numFmtId="238" fontId="55" fillId="0" borderId="33" applyNumberFormat="0" applyFill="0" applyAlignment="0" applyProtection="0"/>
    <xf numFmtId="238" fontId="55" fillId="0" borderId="33" applyNumberFormat="0" applyFill="0" applyAlignment="0" applyProtection="0"/>
    <xf numFmtId="238" fontId="55" fillId="0" borderId="33" applyNumberFormat="0" applyFill="0" applyAlignment="0" applyProtection="0"/>
    <xf numFmtId="238" fontId="55" fillId="0" borderId="33" applyNumberFormat="0" applyFill="0" applyAlignment="0" applyProtection="0"/>
    <xf numFmtId="238" fontId="55" fillId="0" borderId="33" applyNumberFormat="0" applyFill="0" applyAlignment="0" applyProtection="0"/>
    <xf numFmtId="238" fontId="1" fillId="0" borderId="41" applyNumberFormat="0" applyFill="0" applyBorder="0" applyAlignment="0" applyProtection="0"/>
    <xf numFmtId="238" fontId="73" fillId="0" borderId="41" applyNumberFormat="0" applyFill="0" applyBorder="0" applyAlignment="0" applyProtection="0"/>
    <xf numFmtId="238" fontId="74" fillId="0" borderId="41" applyNumberFormat="0" applyFill="0" applyBorder="0" applyAlignment="0" applyProtection="0"/>
    <xf numFmtId="238" fontId="31" fillId="0" borderId="41" applyNumberFormat="0" applyFill="0" applyAlignment="0" applyProtection="0"/>
    <xf numFmtId="238" fontId="1" fillId="0" borderId="49" applyFill="0" applyProtection="0">
      <alignment horizontal="right"/>
    </xf>
    <xf numFmtId="238" fontId="96" fillId="24" borderId="61"/>
    <xf numFmtId="238" fontId="81" fillId="27" borderId="61" applyNumberFormat="0" applyBorder="0" applyProtection="0">
      <alignment horizontal="center" vertical="center" wrapText="1"/>
    </xf>
    <xf numFmtId="238" fontId="31" fillId="0" borderId="61" applyFont="0" applyFill="0" applyBorder="0" applyAlignment="0" applyProtection="0">
      <alignment horizontal="right"/>
    </xf>
    <xf numFmtId="238" fontId="31" fillId="2" borderId="61" applyFont="0" applyBorder="0" applyAlignment="0" applyProtection="0">
      <alignment vertical="top"/>
    </xf>
    <xf numFmtId="238" fontId="1" fillId="15" borderId="61" applyNumberFormat="0" applyFont="0" applyBorder="0" applyAlignment="0" applyProtection="0"/>
    <xf numFmtId="238" fontId="1" fillId="33" borderId="61" applyNumberFormat="0" applyFont="0" applyAlignment="0"/>
    <xf numFmtId="238" fontId="1" fillId="0" borderId="0" applyFont="0" applyFill="0" applyBorder="0" applyAlignment="0" applyProtection="0"/>
    <xf numFmtId="238" fontId="166" fillId="0" borderId="26" applyNumberFormat="0" applyFill="0" applyAlignment="0" applyProtection="0"/>
    <xf numFmtId="238" fontId="1" fillId="0" borderId="0" applyFont="0" applyFill="0" applyBorder="0" applyAlignment="0" applyProtection="0"/>
    <xf numFmtId="238" fontId="1" fillId="0" borderId="0" applyFont="0" applyFill="0" applyBorder="0" applyAlignment="0" applyProtection="0"/>
    <xf numFmtId="9" fontId="167" fillId="0" borderId="0" applyFont="0" applyFill="0" applyBorder="0" applyAlignment="0" applyProtection="0"/>
    <xf numFmtId="238" fontId="168" fillId="0" borderId="0" applyNumberFormat="0" applyFill="0" applyBorder="0" applyAlignment="0" applyProtection="0">
      <alignment vertical="top"/>
      <protection locked="0"/>
    </xf>
    <xf numFmtId="239" fontId="30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69" fillId="0" borderId="0"/>
    <xf numFmtId="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240" fontId="1" fillId="0" borderId="0" applyFont="0" applyFill="0" applyBorder="0" applyProtection="0">
      <alignment horizontal="right"/>
    </xf>
    <xf numFmtId="241" fontId="1" fillId="0" borderId="0" applyFont="0" applyFill="0" applyBorder="0" applyProtection="0">
      <alignment horizontal="right"/>
    </xf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170" fillId="40" borderId="0" applyNumberFormat="0" applyBorder="0" applyAlignment="0" applyProtection="0"/>
    <xf numFmtId="0" fontId="9" fillId="38" borderId="0" applyNumberFormat="0" applyBorder="0" applyAlignment="0" applyProtection="0"/>
    <xf numFmtId="0" fontId="9" fillId="10" borderId="0" applyNumberFormat="0" applyBorder="0" applyAlignment="0" applyProtection="0"/>
    <xf numFmtId="0" fontId="170" fillId="41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170" fillId="10" borderId="0" applyNumberFormat="0" applyBorder="0" applyAlignment="0" applyProtection="0"/>
    <xf numFmtId="0" fontId="9" fillId="38" borderId="0" applyNumberFormat="0" applyBorder="0" applyAlignment="0" applyProtection="0"/>
    <xf numFmtId="0" fontId="9" fillId="10" borderId="0" applyNumberFormat="0" applyBorder="0" applyAlignment="0" applyProtection="0"/>
    <xf numFmtId="0" fontId="170" fillId="10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170" fillId="40" borderId="0" applyNumberFormat="0" applyBorder="0" applyAlignment="0" applyProtection="0"/>
    <xf numFmtId="0" fontId="9" fillId="42" borderId="0" applyNumberFormat="0" applyBorder="0" applyAlignment="0" applyProtection="0"/>
    <xf numFmtId="0" fontId="9" fillId="42" borderId="0" applyNumberFormat="0" applyBorder="0" applyAlignment="0" applyProtection="0"/>
    <xf numFmtId="0" fontId="170" fillId="43" borderId="0" applyNumberFormat="0" applyBorder="0" applyAlignment="0" applyProtection="0"/>
    <xf numFmtId="242" fontId="1" fillId="0" borderId="0" applyFont="0" applyFill="0" applyBorder="0" applyProtection="0">
      <alignment horizontal="right"/>
    </xf>
    <xf numFmtId="174" fontId="1" fillId="0" borderId="0" applyFont="0" applyFill="0" applyBorder="0" applyProtection="0">
      <alignment horizontal="right"/>
    </xf>
    <xf numFmtId="180" fontId="171" fillId="0" borderId="0" applyFont="0" applyFill="0" applyBorder="0" applyAlignment="0" applyProtection="0"/>
    <xf numFmtId="243" fontId="1" fillId="0" borderId="0" applyFont="0" applyFill="0" applyBorder="0" applyProtection="0">
      <alignment horizontal="right"/>
    </xf>
    <xf numFmtId="172" fontId="1" fillId="0" borderId="0" applyFont="0" applyFill="0" applyBorder="0" applyAlignment="0" applyProtection="0"/>
    <xf numFmtId="180" fontId="169" fillId="0" borderId="0" applyFont="0" applyFill="0" applyBorder="0" applyAlignment="0" applyProtection="0"/>
    <xf numFmtId="43" fontId="169" fillId="0" borderId="0" applyFont="0" applyFill="0" applyBorder="0" applyAlignment="0" applyProtection="0"/>
    <xf numFmtId="180" fontId="30" fillId="0" borderId="0" applyFont="0" applyFill="0" applyBorder="0" applyAlignment="0" applyProtection="0"/>
    <xf numFmtId="180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244" fontId="1" fillId="0" borderId="0" applyFont="0" applyFill="0" applyBorder="0" applyProtection="0">
      <alignment horizontal="right"/>
    </xf>
    <xf numFmtId="237" fontId="1" fillId="0" borderId="0" applyFont="0" applyFill="0" applyBorder="0" applyProtection="0">
      <alignment horizontal="right"/>
    </xf>
    <xf numFmtId="245" fontId="1" fillId="0" borderId="0" applyFont="0" applyFill="0" applyBorder="0" applyAlignment="0" applyProtection="0"/>
    <xf numFmtId="242" fontId="1" fillId="0" borderId="0" applyFont="0" applyFill="0" applyBorder="0" applyProtection="0">
      <alignment horizontal="right"/>
    </xf>
    <xf numFmtId="166" fontId="1" fillId="0" borderId="0" applyFont="0" applyFill="0" applyBorder="0" applyProtection="0">
      <alignment horizontal="right"/>
    </xf>
    <xf numFmtId="242" fontId="1" fillId="0" borderId="0" applyFont="0" applyFill="0" applyBorder="0" applyProtection="0">
      <alignment horizontal="right"/>
    </xf>
    <xf numFmtId="246" fontId="1" fillId="0" borderId="0" applyFont="0" applyFill="0" applyBorder="0" applyProtection="0">
      <alignment horizontal="right"/>
    </xf>
    <xf numFmtId="166" fontId="1" fillId="0" borderId="0" applyFont="0" applyFill="0" applyBorder="0" applyProtection="0">
      <alignment horizontal="right"/>
    </xf>
    <xf numFmtId="242" fontId="1" fillId="0" borderId="0" applyFont="0" applyFill="0" applyBorder="0" applyProtection="0">
      <alignment horizontal="right"/>
    </xf>
    <xf numFmtId="247" fontId="1" fillId="0" borderId="0" applyFont="0" applyFill="0" applyBorder="0" applyProtection="0">
      <alignment horizontal="right"/>
    </xf>
    <xf numFmtId="247" fontId="1" fillId="0" borderId="0" applyFont="0" applyFill="0" applyBorder="0" applyProtection="0">
      <alignment horizontal="right"/>
    </xf>
    <xf numFmtId="247" fontId="1" fillId="0" borderId="0" applyFont="0" applyFill="0" applyBorder="0" applyProtection="0">
      <alignment horizontal="right"/>
    </xf>
    <xf numFmtId="200" fontId="172" fillId="0" borderId="0"/>
    <xf numFmtId="200" fontId="172" fillId="0" borderId="0"/>
    <xf numFmtId="200" fontId="172" fillId="0" borderId="0"/>
    <xf numFmtId="200" fontId="172" fillId="0" borderId="0"/>
    <xf numFmtId="179" fontId="173" fillId="0" borderId="0" applyFont="0" applyFill="0" applyBorder="0" applyAlignment="0" applyProtection="0"/>
    <xf numFmtId="0" fontId="10" fillId="44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248" fontId="13" fillId="33" borderId="62">
      <alignment horizontal="center"/>
    </xf>
    <xf numFmtId="0" fontId="174" fillId="0" borderId="0" applyNumberFormat="0" applyFill="0" applyBorder="0" applyAlignment="0" applyProtection="0">
      <alignment vertical="top"/>
      <protection locked="0"/>
    </xf>
    <xf numFmtId="0" fontId="175" fillId="0" borderId="0" applyNumberFormat="0" applyFill="0" applyBorder="0" applyAlignment="0" applyProtection="0">
      <alignment vertical="top"/>
      <protection locked="0"/>
    </xf>
    <xf numFmtId="0" fontId="176" fillId="0" borderId="0" applyNumberFormat="0" applyFill="0" applyBorder="0" applyAlignment="0" applyProtection="0">
      <alignment vertical="top"/>
      <protection locked="0"/>
    </xf>
    <xf numFmtId="0" fontId="177" fillId="0" borderId="0" applyNumberFormat="0" applyFill="0" applyBorder="0" applyAlignment="0" applyProtection="0">
      <alignment vertical="top"/>
      <protection locked="0"/>
    </xf>
    <xf numFmtId="0" fontId="178" fillId="0" borderId="0" applyNumberFormat="0" applyFill="0" applyBorder="0" applyAlignment="0" applyProtection="0">
      <alignment vertical="top"/>
      <protection locked="0"/>
    </xf>
    <xf numFmtId="0" fontId="179" fillId="0" borderId="0"/>
    <xf numFmtId="0" fontId="1" fillId="0" borderId="0"/>
    <xf numFmtId="0" fontId="169" fillId="0" borderId="0"/>
    <xf numFmtId="0" fontId="169" fillId="0" borderId="0"/>
    <xf numFmtId="0" fontId="169" fillId="0" borderId="0"/>
    <xf numFmtId="0" fontId="30" fillId="0" borderId="0"/>
    <xf numFmtId="249" fontId="1" fillId="0" borderId="0" applyFont="0" applyFill="0" applyBorder="0" applyAlignment="0" applyProtection="0">
      <protection locked="0"/>
    </xf>
    <xf numFmtId="1" fontId="1" fillId="0" borderId="0" applyFont="0" applyFill="0" applyBorder="0" applyAlignment="0" applyProtection="0">
      <protection locked="0"/>
    </xf>
    <xf numFmtId="250" fontId="1" fillId="0" borderId="0"/>
    <xf numFmtId="251" fontId="1" fillId="0" borderId="0"/>
    <xf numFmtId="249" fontId="1" fillId="0" borderId="0"/>
    <xf numFmtId="174" fontId="1" fillId="33" borderId="62" applyProtection="0">
      <alignment horizont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69" fillId="0" borderId="0" applyFont="0" applyFill="0" applyBorder="0" applyAlignment="0" applyProtection="0"/>
    <xf numFmtId="10" fontId="1" fillId="0" borderId="0" applyFont="0" applyFill="0" applyBorder="0" applyProtection="0">
      <alignment horizontal="right" indent="1"/>
    </xf>
    <xf numFmtId="236" fontId="180" fillId="0" borderId="0">
      <alignment horizontal="center"/>
    </xf>
    <xf numFmtId="0" fontId="181" fillId="0" borderId="0" applyNumberFormat="0" applyFill="0" applyBorder="0" applyAlignment="0" applyProtection="0"/>
    <xf numFmtId="2" fontId="1" fillId="0" borderId="0" applyBorder="0">
      <alignment horizontal="center"/>
    </xf>
    <xf numFmtId="0" fontId="30" fillId="0" borderId="0">
      <alignment vertical="center"/>
    </xf>
    <xf numFmtId="238" fontId="35" fillId="0" borderId="0" applyFont="0" applyFill="0" applyBorder="0" applyAlignment="0" applyProtection="0"/>
    <xf numFmtId="238" fontId="31" fillId="0" borderId="0" applyNumberFormat="0" applyFill="0" applyBorder="0" applyAlignment="0" applyProtection="0"/>
    <xf numFmtId="238" fontId="31" fillId="0" borderId="0" applyFont="0" applyFill="0" applyBorder="0" applyAlignment="0" applyProtection="0"/>
    <xf numFmtId="238" fontId="31" fillId="0" borderId="0" applyNumberFormat="0" applyFont="0" applyAlignment="0"/>
    <xf numFmtId="238" fontId="54" fillId="0" borderId="30" applyNumberFormat="0" applyFont="0" applyFill="0" applyAlignment="0" applyProtection="0"/>
    <xf numFmtId="238" fontId="31" fillId="0" borderId="0" applyFont="0" applyFill="0" applyBorder="0" applyAlignment="0" applyProtection="0"/>
    <xf numFmtId="238" fontId="31" fillId="0" borderId="0" applyFont="0" applyFill="0" applyBorder="0" applyAlignment="0" applyProtection="0"/>
    <xf numFmtId="238" fontId="54" fillId="0" borderId="30" applyNumberFormat="0" applyFont="0" applyFill="0" applyAlignment="0" applyProtection="0"/>
    <xf numFmtId="238" fontId="31" fillId="0" borderId="0" applyFont="0" applyFill="0" applyBorder="0" applyAlignment="0" applyProtection="0"/>
    <xf numFmtId="238" fontId="31" fillId="0" borderId="0" applyNumberFormat="0" applyFont="0" applyAlignment="0"/>
    <xf numFmtId="238" fontId="31" fillId="0" borderId="0" applyNumberFormat="0" applyFill="0" applyBorder="0" applyAlignment="0" applyProtection="0"/>
    <xf numFmtId="238" fontId="35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45" fillId="0" borderId="0" applyFont="0" applyFill="0" applyBorder="0" applyAlignment="0" applyProtection="0"/>
    <xf numFmtId="238" fontId="1" fillId="0" borderId="0" applyFont="0" applyFill="0" applyBorder="0" applyAlignment="0" applyProtection="0"/>
    <xf numFmtId="238" fontId="49" fillId="0" borderId="0" applyFill="0" applyBorder="0" applyAlignment="0" applyProtection="0">
      <protection locked="0"/>
    </xf>
    <xf numFmtId="238" fontId="1" fillId="0" borderId="0"/>
    <xf numFmtId="238" fontId="30" fillId="0" borderId="0"/>
    <xf numFmtId="238" fontId="1" fillId="0" borderId="0">
      <alignment horizontal="center"/>
    </xf>
    <xf numFmtId="238" fontId="31" fillId="0" borderId="0" applyNumberFormat="0" applyFill="0" applyBorder="0" applyAlignment="0" applyProtection="0"/>
    <xf numFmtId="238" fontId="31" fillId="0" borderId="0" applyNumberFormat="0" applyFill="0" applyBorder="0" applyAlignment="0" applyProtection="0"/>
    <xf numFmtId="238" fontId="1" fillId="0" borderId="0" applyNumberFormat="0" applyFill="0" applyBorder="0" applyAlignment="0" applyProtection="0"/>
    <xf numFmtId="0" fontId="183" fillId="0" borderId="0"/>
    <xf numFmtId="0" fontId="1" fillId="0" borderId="0"/>
    <xf numFmtId="253" fontId="1" fillId="0" borderId="0" applyFont="0" applyFill="0" applyBorder="0" applyAlignment="0" applyProtection="0"/>
    <xf numFmtId="254" fontId="184" fillId="47" borderId="0"/>
    <xf numFmtId="256" fontId="1" fillId="0" borderId="0" applyFont="0" applyFill="0" applyBorder="0" applyAlignment="0" applyProtection="0"/>
    <xf numFmtId="255" fontId="185" fillId="0" borderId="0"/>
    <xf numFmtId="254" fontId="184" fillId="47" borderId="0"/>
    <xf numFmtId="200" fontId="172" fillId="0" borderId="0"/>
    <xf numFmtId="200" fontId="172" fillId="0" borderId="0"/>
    <xf numFmtId="180" fontId="167" fillId="0" borderId="0" applyFont="0" applyFill="0" applyBorder="0" applyAlignment="0" applyProtection="0"/>
    <xf numFmtId="43" fontId="167" fillId="0" borderId="0" applyFont="0" applyFill="0" applyBorder="0" applyAlignment="0" applyProtection="0"/>
    <xf numFmtId="174" fontId="1" fillId="0" borderId="0" applyFont="0" applyFill="0" applyBorder="0" applyProtection="0">
      <alignment horizontal="right"/>
    </xf>
    <xf numFmtId="3" fontId="1" fillId="0" borderId="0" applyFont="0" applyFill="0" applyBorder="0" applyAlignment="0" applyProtection="0"/>
    <xf numFmtId="169" fontId="1" fillId="0" borderId="0" applyFont="0" applyFill="0" applyBorder="0" applyProtection="0">
      <alignment horizontal="right"/>
    </xf>
    <xf numFmtId="246" fontId="1" fillId="0" borderId="0" applyFont="0" applyFill="0" applyBorder="0" applyProtection="0">
      <alignment horizontal="right"/>
    </xf>
    <xf numFmtId="3" fontId="1" fillId="0" borderId="0" applyFont="0" applyFill="0" applyBorder="0" applyAlignment="0" applyProtection="0"/>
    <xf numFmtId="3" fontId="1" fillId="0" borderId="0" applyFont="0" applyFill="0" applyBorder="0" applyAlignment="0" applyProtection="0"/>
    <xf numFmtId="255" fontId="185" fillId="0" borderId="0"/>
    <xf numFmtId="179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255" fontId="185" fillId="0" borderId="0"/>
    <xf numFmtId="256" fontId="1" fillId="0" borderId="0" applyFont="0" applyFill="0" applyBorder="0" applyAlignment="0" applyProtection="0"/>
    <xf numFmtId="256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186" fillId="29" borderId="63">
      <alignment horizontal="left"/>
    </xf>
    <xf numFmtId="0" fontId="168" fillId="0" borderId="0" applyNumberFormat="0" applyFill="0" applyBorder="0" applyAlignment="0" applyProtection="0">
      <alignment vertical="top"/>
      <protection locked="0"/>
    </xf>
    <xf numFmtId="254" fontId="184" fillId="47" borderId="0"/>
    <xf numFmtId="0" fontId="1" fillId="0" borderId="0" applyFont="0" applyFill="0" applyBorder="0" applyAlignment="0" applyProtection="0"/>
    <xf numFmtId="0" fontId="1" fillId="0" borderId="0"/>
    <xf numFmtId="0" fontId="167" fillId="0" borderId="0"/>
    <xf numFmtId="0" fontId="167" fillId="0" borderId="0"/>
    <xf numFmtId="0" fontId="167" fillId="0" borderId="0"/>
    <xf numFmtId="9" fontId="1" fillId="0" borderId="0" applyFont="0" applyFill="0" applyBorder="0" applyAlignment="0" applyProtection="0">
      <alignment horizontal="right" indent="1"/>
    </xf>
    <xf numFmtId="9" fontId="167" fillId="0" borderId="0" applyFont="0" applyFill="0" applyBorder="0" applyAlignment="0" applyProtection="0"/>
    <xf numFmtId="0" fontId="67" fillId="0" borderId="0">
      <alignment vertical="center"/>
    </xf>
    <xf numFmtId="0" fontId="183" fillId="0" borderId="0"/>
    <xf numFmtId="0" fontId="183" fillId="0" borderId="0"/>
    <xf numFmtId="0" fontId="183" fillId="0" borderId="0"/>
    <xf numFmtId="254" fontId="184" fillId="47" borderId="0"/>
    <xf numFmtId="256" fontId="1" fillId="0" borderId="0" applyFont="0" applyFill="0" applyBorder="0" applyAlignment="0" applyProtection="0"/>
    <xf numFmtId="255" fontId="185" fillId="0" borderId="0"/>
    <xf numFmtId="3" fontId="1" fillId="0" borderId="0" applyFont="0" applyFill="0" applyBorder="0" applyAlignment="0" applyProtection="0"/>
    <xf numFmtId="3" fontId="1" fillId="0" borderId="0" applyFont="0" applyFill="0" applyBorder="0" applyAlignment="0" applyProtection="0"/>
    <xf numFmtId="255" fontId="185" fillId="0" borderId="0"/>
    <xf numFmtId="256" fontId="1" fillId="0" borderId="0" applyFont="0" applyFill="0" applyBorder="0" applyAlignment="0" applyProtection="0"/>
    <xf numFmtId="254" fontId="184" fillId="47" borderId="0"/>
    <xf numFmtId="0" fontId="183" fillId="0" borderId="0"/>
    <xf numFmtId="39" fontId="1" fillId="0" borderId="0" applyFont="0" applyFill="0" applyBorder="0" applyProtection="0">
      <alignment horizontal="right"/>
    </xf>
    <xf numFmtId="0" fontId="31" fillId="3" borderId="64">
      <alignment horizontal="center" vertical="center"/>
    </xf>
    <xf numFmtId="238" fontId="155" fillId="0" borderId="65">
      <alignment horizontal="left" vertical="top"/>
    </xf>
    <xf numFmtId="238" fontId="45" fillId="0" borderId="65" applyFill="0" applyBorder="0" applyProtection="0">
      <alignment horizontal="left"/>
    </xf>
    <xf numFmtId="238" fontId="63" fillId="0" borderId="66" applyBorder="0"/>
    <xf numFmtId="238" fontId="35" fillId="0" borderId="65" applyNumberFormat="0" applyFont="0" applyFill="0" applyAlignment="0" applyProtection="0"/>
    <xf numFmtId="0" fontId="155" fillId="0" borderId="65">
      <alignment horizontal="left" vertical="top"/>
    </xf>
    <xf numFmtId="0" fontId="45" fillId="0" borderId="65" applyFill="0" applyBorder="0" applyProtection="0">
      <alignment horizontal="left"/>
    </xf>
    <xf numFmtId="238" fontId="31" fillId="3" borderId="64">
      <alignment horizontal="center" vertical="center"/>
    </xf>
    <xf numFmtId="0" fontId="35" fillId="0" borderId="65" applyNumberFormat="0" applyFont="0" applyFill="0" applyAlignment="0" applyProtection="0"/>
    <xf numFmtId="1" fontId="77" fillId="22" borderId="65" applyNumberFormat="0" applyBorder="0" applyAlignment="0">
      <alignment horizontal="center" vertical="top" wrapText="1"/>
      <protection hidden="1"/>
    </xf>
    <xf numFmtId="0" fontId="63" fillId="0" borderId="66" applyBorder="0"/>
  </cellStyleXfs>
  <cellXfs count="165">
    <xf numFmtId="0" fontId="0" fillId="0" borderId="0" xfId="0"/>
    <xf numFmtId="0" fontId="1" fillId="0" borderId="0" xfId="1"/>
    <xf numFmtId="0" fontId="1" fillId="0" borderId="0" xfId="1" applyBorder="1"/>
    <xf numFmtId="0" fontId="1" fillId="0" borderId="0" xfId="1" applyAlignment="1">
      <alignment horizontal="left" indent="1"/>
    </xf>
    <xf numFmtId="0" fontId="1" fillId="0" borderId="0" xfId="1" applyFill="1" applyBorder="1"/>
    <xf numFmtId="10" fontId="1" fillId="0" borderId="0" xfId="1" applyNumberFormat="1"/>
    <xf numFmtId="0" fontId="1" fillId="0" borderId="0" xfId="1" applyAlignment="1">
      <alignment horizontal="left"/>
    </xf>
    <xf numFmtId="0" fontId="2" fillId="0" borderId="0" xfId="1" applyFont="1" applyBorder="1" applyAlignment="1"/>
    <xf numFmtId="0" fontId="3" fillId="0" borderId="0" xfId="1" applyFont="1" applyBorder="1" applyAlignment="1"/>
    <xf numFmtId="0" fontId="4" fillId="0" borderId="0" xfId="1" applyFont="1" applyBorder="1" applyAlignment="1"/>
    <xf numFmtId="9" fontId="1" fillId="0" borderId="0" xfId="1" applyNumberFormat="1"/>
    <xf numFmtId="0" fontId="2" fillId="0" borderId="0" xfId="1" applyFont="1" applyBorder="1" applyAlignment="1">
      <alignment horizontal="left" indent="2"/>
    </xf>
    <xf numFmtId="2" fontId="2" fillId="0" borderId="0" xfId="1" applyNumberFormat="1" applyFont="1" applyBorder="1" applyAlignment="1"/>
    <xf numFmtId="0" fontId="2" fillId="0" borderId="0" xfId="1" applyFont="1" applyBorder="1" applyAlignment="1">
      <alignment horizontal="left" indent="1"/>
    </xf>
    <xf numFmtId="164" fontId="5" fillId="0" borderId="1" xfId="1" applyNumberFormat="1" applyFont="1" applyFill="1" applyBorder="1" applyAlignment="1"/>
    <xf numFmtId="0" fontId="5" fillId="0" borderId="2" xfId="1" applyNumberFormat="1" applyFont="1" applyFill="1" applyBorder="1" applyAlignment="1"/>
    <xf numFmtId="165" fontId="6" fillId="0" borderId="3" xfId="1" applyNumberFormat="1" applyFont="1" applyFill="1" applyBorder="1" applyAlignment="1"/>
    <xf numFmtId="0" fontId="7" fillId="0" borderId="4" xfId="1" applyNumberFormat="1" applyFont="1" applyFill="1" applyBorder="1" applyAlignment="1"/>
    <xf numFmtId="165" fontId="5" fillId="2" borderId="5" xfId="1" applyNumberFormat="1" applyFont="1" applyFill="1" applyBorder="1" applyAlignment="1"/>
    <xf numFmtId="165" fontId="1" fillId="2" borderId="6" xfId="1" applyNumberFormat="1" applyFont="1" applyFill="1" applyBorder="1" applyAlignment="1"/>
    <xf numFmtId="165" fontId="5" fillId="2" borderId="7" xfId="1" applyNumberFormat="1" applyFont="1" applyFill="1" applyBorder="1" applyAlignment="1"/>
    <xf numFmtId="165" fontId="1" fillId="2" borderId="8" xfId="1" applyNumberFormat="1" applyFont="1" applyFill="1" applyBorder="1" applyAlignment="1"/>
    <xf numFmtId="165" fontId="1" fillId="0" borderId="0" xfId="1" applyNumberFormat="1" applyFill="1" applyBorder="1" applyAlignment="1"/>
    <xf numFmtId="0" fontId="8" fillId="0" borderId="0" xfId="1" applyFont="1"/>
    <xf numFmtId="165" fontId="1" fillId="0" borderId="0" xfId="1" applyNumberFormat="1" applyFont="1" applyFill="1" applyBorder="1" applyAlignment="1"/>
    <xf numFmtId="165" fontId="9" fillId="0" borderId="0" xfId="1" applyNumberFormat="1" applyFont="1" applyFill="1" applyBorder="1" applyAlignment="1"/>
    <xf numFmtId="165" fontId="5" fillId="0" borderId="0" xfId="1" applyNumberFormat="1" applyFont="1" applyFill="1" applyBorder="1" applyAlignment="1"/>
    <xf numFmtId="0" fontId="1" fillId="0" borderId="0" xfId="1" applyNumberFormat="1" applyFont="1" applyFill="1" applyBorder="1" applyAlignment="1"/>
    <xf numFmtId="0" fontId="10" fillId="0" borderId="0" xfId="1" applyFont="1" applyBorder="1" applyAlignment="1">
      <alignment vertical="center"/>
    </xf>
    <xf numFmtId="0" fontId="1" fillId="0" borderId="0" xfId="1" applyFont="1"/>
    <xf numFmtId="40" fontId="5" fillId="0" borderId="0" xfId="1" applyNumberFormat="1" applyFont="1" applyBorder="1" applyAlignment="1">
      <alignment horizontal="right"/>
    </xf>
    <xf numFmtId="0" fontId="5" fillId="0" borderId="0" xfId="1" applyFont="1"/>
    <xf numFmtId="38" fontId="1" fillId="0" borderId="0" xfId="1" applyNumberFormat="1" applyFont="1" applyBorder="1" applyAlignment="1">
      <alignment horizontal="right"/>
    </xf>
    <xf numFmtId="0" fontId="5" fillId="0" borderId="0" xfId="1" applyFont="1" applyAlignment="1">
      <alignment horizontal="center"/>
    </xf>
    <xf numFmtId="0" fontId="1" fillId="0" borderId="0" xfId="1" applyFont="1" applyAlignment="1">
      <alignment horizontal="center"/>
    </xf>
    <xf numFmtId="167" fontId="1" fillId="0" borderId="9" xfId="1" applyNumberFormat="1" applyFont="1" applyBorder="1" applyAlignment="1">
      <alignment horizontal="center"/>
    </xf>
    <xf numFmtId="10" fontId="1" fillId="0" borderId="9" xfId="1" applyNumberFormat="1" applyFont="1" applyBorder="1" applyAlignment="1">
      <alignment horizontal="center"/>
    </xf>
    <xf numFmtId="168" fontId="1" fillId="0" borderId="0" xfId="1" applyNumberFormat="1" applyFont="1" applyBorder="1" applyAlignment="1">
      <alignment horizontal="center"/>
    </xf>
    <xf numFmtId="0" fontId="1" fillId="0" borderId="9" xfId="1" applyFont="1" applyBorder="1" applyAlignment="1">
      <alignment horizontal="center"/>
    </xf>
    <xf numFmtId="10" fontId="1" fillId="0" borderId="0" xfId="1" applyNumberFormat="1" applyFont="1" applyAlignment="1">
      <alignment horizontal="center"/>
    </xf>
    <xf numFmtId="10" fontId="1" fillId="0" borderId="0" xfId="5" applyNumberFormat="1" applyFont="1" applyAlignment="1">
      <alignment horizontal="center"/>
    </xf>
    <xf numFmtId="2" fontId="1" fillId="0" borderId="0" xfId="1" applyNumberFormat="1" applyFont="1" applyAlignment="1">
      <alignment horizontal="center"/>
    </xf>
    <xf numFmtId="9" fontId="1" fillId="0" borderId="0" xfId="5" applyFont="1" applyAlignment="1">
      <alignment horizontal="center"/>
    </xf>
    <xf numFmtId="0" fontId="11" fillId="0" borderId="0" xfId="1" applyFont="1"/>
    <xf numFmtId="38" fontId="1" fillId="0" borderId="0" xfId="1" applyNumberFormat="1" applyFont="1" applyAlignment="1">
      <alignment horizontal="center"/>
    </xf>
    <xf numFmtId="38" fontId="1" fillId="0" borderId="0" xfId="1" applyNumberFormat="1" applyFont="1" applyAlignment="1">
      <alignment horizontal="right"/>
    </xf>
    <xf numFmtId="38" fontId="5" fillId="0" borderId="0" xfId="1" applyNumberFormat="1" applyFont="1" applyAlignment="1">
      <alignment horizontal="right"/>
    </xf>
    <xf numFmtId="38" fontId="5" fillId="0" borderId="0" xfId="1" applyNumberFormat="1" applyFont="1" applyBorder="1" applyAlignment="1">
      <alignment horizontal="right"/>
    </xf>
    <xf numFmtId="38" fontId="1" fillId="0" borderId="0" xfId="1" applyNumberFormat="1" applyFont="1"/>
    <xf numFmtId="0" fontId="1" fillId="3" borderId="0" xfId="1" applyFont="1" applyFill="1" applyBorder="1" applyAlignment="1">
      <alignment horizontal="center"/>
    </xf>
    <xf numFmtId="0" fontId="1" fillId="3" borderId="0" xfId="1" applyFont="1" applyFill="1"/>
    <xf numFmtId="0" fontId="1" fillId="0" borderId="0" xfId="1" applyFont="1" applyBorder="1"/>
    <xf numFmtId="10" fontId="1" fillId="0" borderId="10" xfId="1" applyNumberFormat="1" applyFont="1" applyBorder="1" applyAlignment="1">
      <alignment horizontal="center"/>
    </xf>
    <xf numFmtId="0" fontId="1" fillId="0" borderId="0" xfId="1" applyFont="1" applyAlignment="1">
      <alignment horizontal="centerContinuous"/>
    </xf>
    <xf numFmtId="0" fontId="5" fillId="0" borderId="0" xfId="1" applyFont="1" applyAlignment="1">
      <alignment horizontal="centerContinuous"/>
    </xf>
    <xf numFmtId="0" fontId="1" fillId="0" borderId="0" xfId="1" applyFont="1" applyBorder="1" applyAlignment="1">
      <alignment horizontal="center"/>
    </xf>
    <xf numFmtId="9" fontId="1" fillId="4" borderId="9" xfId="5" applyFont="1" applyFill="1" applyBorder="1" applyAlignment="1">
      <alignment horizontal="center"/>
    </xf>
    <xf numFmtId="0" fontId="1" fillId="4" borderId="9" xfId="1" applyFont="1" applyFill="1" applyBorder="1" applyAlignment="1">
      <alignment horizontal="center"/>
    </xf>
    <xf numFmtId="0" fontId="12" fillId="0" borderId="0" xfId="1" applyFont="1"/>
    <xf numFmtId="10" fontId="1" fillId="0" borderId="0" xfId="1" applyNumberFormat="1" applyFont="1" applyBorder="1" applyAlignment="1">
      <alignment horizontal="center"/>
    </xf>
    <xf numFmtId="10" fontId="1" fillId="4" borderId="9" xfId="1" applyNumberFormat="1" applyFont="1" applyFill="1" applyBorder="1" applyAlignment="1">
      <alignment horizontal="center"/>
    </xf>
    <xf numFmtId="9" fontId="1" fillId="0" borderId="0" xfId="1" applyNumberFormat="1" applyFont="1" applyAlignment="1">
      <alignment horizontal="center"/>
    </xf>
    <xf numFmtId="1" fontId="1" fillId="0" borderId="0" xfId="1" applyNumberFormat="1" applyFont="1" applyAlignment="1">
      <alignment horizontal="center"/>
    </xf>
    <xf numFmtId="9" fontId="1" fillId="4" borderId="9" xfId="1" applyNumberFormat="1" applyFont="1" applyFill="1" applyBorder="1" applyAlignment="1">
      <alignment horizontal="center"/>
    </xf>
    <xf numFmtId="2" fontId="1" fillId="4" borderId="9" xfId="1" applyNumberFormat="1" applyFont="1" applyFill="1" applyBorder="1" applyAlignment="1">
      <alignment horizontal="center"/>
    </xf>
    <xf numFmtId="9" fontId="1" fillId="0" borderId="0" xfId="5" applyFont="1"/>
    <xf numFmtId="10" fontId="1" fillId="5" borderId="9" xfId="1" applyNumberFormat="1" applyFont="1" applyFill="1" applyBorder="1" applyAlignment="1">
      <alignment horizontal="center"/>
    </xf>
    <xf numFmtId="9" fontId="1" fillId="5" borderId="9" xfId="1" applyNumberFormat="1" applyFont="1" applyFill="1" applyBorder="1" applyAlignment="1">
      <alignment horizontal="center"/>
    </xf>
    <xf numFmtId="0" fontId="1" fillId="0" borderId="11" xfId="1" applyFont="1" applyBorder="1" applyAlignment="1">
      <alignment horizontal="center"/>
    </xf>
    <xf numFmtId="0" fontId="11" fillId="0" borderId="0" xfId="1" applyFont="1" applyAlignment="1">
      <alignment horizontal="center"/>
    </xf>
    <xf numFmtId="0" fontId="1" fillId="4" borderId="9" xfId="1" applyFont="1" applyFill="1" applyBorder="1" applyAlignment="1" applyProtection="1">
      <alignment horizontal="center"/>
    </xf>
    <xf numFmtId="0" fontId="1" fillId="4" borderId="9" xfId="1" applyFont="1" applyFill="1" applyBorder="1"/>
    <xf numFmtId="2" fontId="1" fillId="0" borderId="9" xfId="1" applyNumberFormat="1" applyFont="1" applyBorder="1" applyAlignment="1">
      <alignment horizontal="center"/>
    </xf>
    <xf numFmtId="0" fontId="11" fillId="0" borderId="0" xfId="1" applyFont="1" applyFill="1" applyAlignment="1">
      <alignment horizontal="center"/>
    </xf>
    <xf numFmtId="0" fontId="1" fillId="0" borderId="0" xfId="1" applyFont="1" applyFill="1" applyAlignment="1"/>
    <xf numFmtId="38" fontId="1" fillId="0" borderId="9" xfId="1" applyNumberFormat="1" applyFont="1" applyFill="1" applyBorder="1" applyAlignment="1"/>
    <xf numFmtId="10" fontId="1" fillId="0" borderId="9" xfId="1" applyNumberFormat="1" applyFont="1" applyFill="1" applyBorder="1" applyAlignment="1"/>
    <xf numFmtId="1" fontId="1" fillId="0" borderId="9" xfId="1" applyNumberFormat="1" applyFont="1" applyFill="1" applyBorder="1" applyAlignment="1"/>
    <xf numFmtId="0" fontId="1" fillId="0" borderId="0" xfId="1" applyFont="1" applyAlignment="1"/>
    <xf numFmtId="10" fontId="13" fillId="0" borderId="1" xfId="5" applyNumberFormat="1" applyFont="1" applyBorder="1" applyAlignment="1">
      <alignment horizontal="center"/>
    </xf>
    <xf numFmtId="169" fontId="14" fillId="0" borderId="1" xfId="1" applyNumberFormat="1" applyFont="1" applyBorder="1" applyAlignment="1"/>
    <xf numFmtId="169" fontId="1" fillId="0" borderId="10" xfId="5" applyNumberFormat="1" applyFont="1" applyBorder="1" applyAlignment="1">
      <alignment horizontal="right"/>
    </xf>
    <xf numFmtId="0" fontId="15" fillId="0" borderId="12" xfId="1" applyFont="1" applyBorder="1" applyAlignment="1">
      <alignment horizontal="left"/>
    </xf>
    <xf numFmtId="0" fontId="15" fillId="0" borderId="13" xfId="1" applyFont="1" applyBorder="1" applyAlignment="1">
      <alignment horizontal="left"/>
    </xf>
    <xf numFmtId="10" fontId="13" fillId="0" borderId="3" xfId="5" applyNumberFormat="1" applyFont="1" applyBorder="1" applyAlignment="1">
      <alignment horizontal="center"/>
    </xf>
    <xf numFmtId="169" fontId="14" fillId="0" borderId="3" xfId="1" applyNumberFormat="1" applyFont="1" applyBorder="1" applyAlignment="1"/>
    <xf numFmtId="169" fontId="1" fillId="0" borderId="14" xfId="5" applyNumberFormat="1" applyFont="1" applyBorder="1" applyAlignment="1">
      <alignment horizontal="right"/>
    </xf>
    <xf numFmtId="0" fontId="15" fillId="0" borderId="15" xfId="1" applyFont="1" applyBorder="1" applyAlignment="1">
      <alignment horizontal="right"/>
    </xf>
    <xf numFmtId="0" fontId="15" fillId="0" borderId="16" xfId="1" applyFont="1" applyBorder="1" applyAlignment="1">
      <alignment horizontal="left"/>
    </xf>
    <xf numFmtId="10" fontId="13" fillId="0" borderId="17" xfId="5" applyNumberFormat="1" applyFont="1" applyBorder="1" applyAlignment="1">
      <alignment horizontal="center"/>
    </xf>
    <xf numFmtId="169" fontId="14" fillId="0" borderId="5" xfId="1" applyNumberFormat="1" applyFont="1" applyBorder="1" applyAlignment="1"/>
    <xf numFmtId="169" fontId="1" fillId="0" borderId="18" xfId="5" applyNumberFormat="1" applyFont="1" applyBorder="1" applyAlignment="1">
      <alignment horizontal="right"/>
    </xf>
    <xf numFmtId="169" fontId="14" fillId="0" borderId="17" xfId="5" applyNumberFormat="1" applyFont="1" applyBorder="1" applyAlignment="1"/>
    <xf numFmtId="169" fontId="14" fillId="0" borderId="19" xfId="1" applyNumberFormat="1" applyFont="1" applyBorder="1" applyAlignment="1"/>
    <xf numFmtId="1" fontId="13" fillId="0" borderId="20" xfId="5" applyNumberFormat="1" applyFont="1" applyBorder="1" applyAlignment="1">
      <alignment horizontal="center"/>
    </xf>
    <xf numFmtId="0" fontId="14" fillId="0" borderId="7" xfId="1" applyFont="1" applyBorder="1" applyAlignment="1">
      <alignment horizontal="center"/>
    </xf>
    <xf numFmtId="1" fontId="1" fillId="0" borderId="21" xfId="6" applyNumberFormat="1" applyFont="1" applyBorder="1" applyAlignment="1">
      <alignment horizontal="right"/>
    </xf>
    <xf numFmtId="0" fontId="15" fillId="0" borderId="12" xfId="1" applyFont="1" applyBorder="1" applyAlignment="1">
      <alignment horizontal="right"/>
    </xf>
    <xf numFmtId="0" fontId="13" fillId="0" borderId="0" xfId="1" applyFont="1" applyAlignment="1">
      <alignment horizontal="center"/>
    </xf>
    <xf numFmtId="0" fontId="3" fillId="0" borderId="0" xfId="1" applyFont="1" applyAlignment="1">
      <alignment horizontal="center"/>
    </xf>
    <xf numFmtId="0" fontId="1" fillId="0" borderId="0" xfId="1" applyAlignment="1">
      <alignment horizontal="right"/>
    </xf>
    <xf numFmtId="0" fontId="20" fillId="6" borderId="22" xfId="4" applyFont="1" applyFill="1" applyBorder="1" applyAlignment="1" applyProtection="1">
      <alignment horizontal="left" vertical="center" indent="1"/>
    </xf>
    <xf numFmtId="0" fontId="21" fillId="6" borderId="22" xfId="4" applyFont="1" applyFill="1" applyBorder="1" applyAlignment="1" applyProtection="1">
      <alignment horizontal="right" vertical="center"/>
    </xf>
    <xf numFmtId="0" fontId="21" fillId="0" borderId="0" xfId="4" applyFont="1" applyFill="1" applyBorder="1" applyAlignment="1" applyProtection="1">
      <alignment horizontal="right" vertical="center"/>
    </xf>
    <xf numFmtId="0" fontId="21" fillId="0" borderId="0" xfId="4" applyFont="1" applyFill="1" applyBorder="1" applyAlignment="1" applyProtection="1">
      <alignment horizontal="center" vertical="center"/>
    </xf>
    <xf numFmtId="0" fontId="22" fillId="7" borderId="9" xfId="3" applyFont="1" applyFill="1" applyBorder="1" applyAlignment="1" applyProtection="1">
      <alignment horizontal="center" vertical="center"/>
    </xf>
    <xf numFmtId="0" fontId="23" fillId="0" borderId="9" xfId="3" applyFont="1" applyFill="1" applyBorder="1" applyAlignment="1" applyProtection="1">
      <alignment horizontal="center" vertical="center"/>
    </xf>
    <xf numFmtId="0" fontId="24" fillId="8" borderId="9" xfId="4" applyFont="1" applyFill="1" applyBorder="1" applyAlignment="1" applyProtection="1">
      <alignment horizontal="center" vertical="center" wrapText="1"/>
    </xf>
    <xf numFmtId="0" fontId="21" fillId="0" borderId="0" xfId="4" applyFont="1" applyBorder="1" applyAlignment="1" applyProtection="1">
      <alignment horizontal="right" vertical="center"/>
    </xf>
    <xf numFmtId="0" fontId="22" fillId="9" borderId="23" xfId="4" applyFont="1" applyFill="1" applyBorder="1" applyAlignment="1" applyProtection="1">
      <alignment horizontal="left" vertical="center" indent="1"/>
    </xf>
    <xf numFmtId="0" fontId="22" fillId="9" borderId="24" xfId="4" applyFont="1" applyFill="1" applyBorder="1" applyAlignment="1" applyProtection="1">
      <alignment horizontal="center" vertical="center"/>
    </xf>
    <xf numFmtId="0" fontId="22" fillId="9" borderId="25" xfId="4" applyFont="1" applyFill="1" applyBorder="1" applyAlignment="1" applyProtection="1">
      <alignment horizontal="center" vertical="center"/>
    </xf>
    <xf numFmtId="0" fontId="21" fillId="7" borderId="9" xfId="4" applyFont="1" applyFill="1" applyBorder="1" applyAlignment="1" applyProtection="1">
      <alignment horizontal="left" vertical="center" indent="1"/>
    </xf>
    <xf numFmtId="37" fontId="21" fillId="0" borderId="9" xfId="2" applyNumberFormat="1" applyFont="1" applyBorder="1" applyProtection="1">
      <alignment horizontal="right"/>
    </xf>
    <xf numFmtId="9" fontId="21" fillId="0" borderId="9" xfId="5" applyFont="1" applyBorder="1" applyAlignment="1" applyProtection="1">
      <alignment horizontal="right" vertical="center"/>
    </xf>
    <xf numFmtId="170" fontId="21" fillId="0" borderId="9" xfId="4" applyNumberFormat="1" applyFont="1" applyBorder="1" applyAlignment="1" applyProtection="1">
      <alignment horizontal="right" vertical="center"/>
    </xf>
    <xf numFmtId="10" fontId="21" fillId="0" borderId="9" xfId="5" applyNumberFormat="1" applyFont="1" applyFill="1" applyBorder="1" applyAlignment="1" applyProtection="1">
      <alignment horizontal="right" vertical="center"/>
    </xf>
    <xf numFmtId="10" fontId="21" fillId="0" borderId="9" xfId="4" applyNumberFormat="1" applyFont="1" applyFill="1" applyBorder="1" applyAlignment="1" applyProtection="1">
      <alignment horizontal="right" vertical="center"/>
    </xf>
    <xf numFmtId="10" fontId="21" fillId="0" borderId="9" xfId="4" applyNumberFormat="1" applyFont="1" applyBorder="1" applyAlignment="1" applyProtection="1">
      <alignment horizontal="right" vertical="center"/>
    </xf>
    <xf numFmtId="166" fontId="21" fillId="0" borderId="9" xfId="2" applyNumberFormat="1" applyFont="1" applyBorder="1" applyProtection="1">
      <alignment horizontal="right"/>
    </xf>
    <xf numFmtId="39" fontId="21" fillId="0" borderId="9" xfId="2" applyNumberFormat="1" applyFont="1" applyBorder="1" applyProtection="1">
      <alignment horizontal="right"/>
    </xf>
    <xf numFmtId="0" fontId="22" fillId="9" borderId="9" xfId="4" applyFont="1" applyFill="1" applyBorder="1" applyAlignment="1" applyProtection="1">
      <alignment horizontal="left" vertical="center" indent="1"/>
    </xf>
    <xf numFmtId="37" fontId="21" fillId="0" borderId="9" xfId="2" applyNumberFormat="1" applyFont="1" applyFill="1" applyBorder="1" applyProtection="1">
      <alignment horizontal="right"/>
    </xf>
    <xf numFmtId="171" fontId="25" fillId="0" borderId="9" xfId="2" applyNumberFormat="1" applyFont="1" applyFill="1" applyBorder="1" applyAlignment="1" applyProtection="1">
      <alignment horizontal="right" vertical="center"/>
    </xf>
    <xf numFmtId="10" fontId="21" fillId="0" borderId="9" xfId="5" applyNumberFormat="1" applyFont="1" applyBorder="1" applyAlignment="1" applyProtection="1">
      <alignment horizontal="right"/>
    </xf>
    <xf numFmtId="0" fontId="21" fillId="0" borderId="0" xfId="4" applyFont="1" applyBorder="1" applyAlignment="1" applyProtection="1">
      <alignment horizontal="left" vertical="center"/>
    </xf>
    <xf numFmtId="0" fontId="26" fillId="0" borderId="9" xfId="4" applyFont="1" applyFill="1" applyBorder="1" applyAlignment="1" applyProtection="1">
      <alignment horizontal="center" vertical="center"/>
    </xf>
    <xf numFmtId="0" fontId="21" fillId="0" borderId="9" xfId="4" applyFont="1" applyFill="1" applyBorder="1" applyAlignment="1" applyProtection="1">
      <alignment horizontal="right" vertical="center"/>
    </xf>
    <xf numFmtId="172" fontId="21" fillId="0" borderId="9" xfId="4" applyNumberFormat="1" applyFont="1" applyBorder="1" applyAlignment="1" applyProtection="1">
      <alignment horizontal="right" vertical="center"/>
    </xf>
    <xf numFmtId="2" fontId="21" fillId="0" borderId="9" xfId="4" applyNumberFormat="1" applyFont="1" applyFill="1" applyBorder="1" applyAlignment="1" applyProtection="1">
      <alignment horizontal="right" vertical="center"/>
    </xf>
    <xf numFmtId="2" fontId="21" fillId="0" borderId="9" xfId="4" applyNumberFormat="1" applyFont="1" applyBorder="1" applyAlignment="1" applyProtection="1">
      <alignment horizontal="right" vertical="center"/>
    </xf>
    <xf numFmtId="0" fontId="21" fillId="0" borderId="9" xfId="4" applyNumberFormat="1" applyFont="1" applyBorder="1" applyAlignment="1" applyProtection="1">
      <alignment horizontal="right" vertical="center"/>
    </xf>
    <xf numFmtId="169" fontId="21" fillId="0" borderId="9" xfId="5" applyNumberFormat="1" applyFont="1" applyFill="1" applyBorder="1" applyAlignment="1" applyProtection="1">
      <alignment horizontal="right" vertical="center"/>
    </xf>
    <xf numFmtId="169" fontId="21" fillId="0" borderId="9" xfId="5" applyNumberFormat="1" applyFont="1" applyBorder="1" applyAlignment="1" applyProtection="1">
      <alignment horizontal="right" vertical="center"/>
    </xf>
    <xf numFmtId="10" fontId="25" fillId="0" borderId="9" xfId="5" applyNumberFormat="1" applyFont="1" applyFill="1" applyBorder="1" applyAlignment="1" applyProtection="1">
      <alignment horizontal="right" vertical="center"/>
    </xf>
    <xf numFmtId="10" fontId="21" fillId="0" borderId="0" xfId="4" applyNumberFormat="1" applyFont="1" applyFill="1" applyBorder="1" applyAlignment="1" applyProtection="1">
      <alignment horizontal="right" vertical="center"/>
    </xf>
    <xf numFmtId="9" fontId="21" fillId="0" borderId="9" xfId="4" applyNumberFormat="1" applyFont="1" applyBorder="1" applyAlignment="1" applyProtection="1">
      <alignment horizontal="right" vertical="center"/>
    </xf>
    <xf numFmtId="10" fontId="25" fillId="0" borderId="0" xfId="5" applyNumberFormat="1" applyFont="1" applyFill="1" applyBorder="1" applyAlignment="1" applyProtection="1">
      <alignment horizontal="right" vertical="center"/>
    </xf>
    <xf numFmtId="9" fontId="21" fillId="0" borderId="9" xfId="5" applyFont="1" applyFill="1" applyBorder="1" applyAlignment="1" applyProtection="1">
      <alignment horizontal="right" vertical="center"/>
    </xf>
    <xf numFmtId="9" fontId="21" fillId="0" borderId="9" xfId="5" applyNumberFormat="1" applyFont="1" applyBorder="1" applyAlignment="1" applyProtection="1">
      <alignment horizontal="right" vertical="center"/>
    </xf>
    <xf numFmtId="1" fontId="21" fillId="0" borderId="9" xfId="4" applyNumberFormat="1" applyFont="1" applyFill="1" applyBorder="1" applyAlignment="1" applyProtection="1">
      <alignment horizontal="center" vertical="center"/>
    </xf>
    <xf numFmtId="0" fontId="21" fillId="0" borderId="9" xfId="4" applyFont="1" applyBorder="1" applyAlignment="1" applyProtection="1">
      <alignment horizontal="right" vertical="center"/>
    </xf>
    <xf numFmtId="1" fontId="25" fillId="0" borderId="9" xfId="5" applyNumberFormat="1" applyFont="1" applyFill="1" applyBorder="1" applyAlignment="1" applyProtection="1">
      <alignment horizontal="center" vertical="center"/>
    </xf>
    <xf numFmtId="0" fontId="27" fillId="7" borderId="9" xfId="4" applyFont="1" applyFill="1" applyBorder="1" applyAlignment="1" applyProtection="1">
      <alignment horizontal="left" vertical="center" indent="1"/>
    </xf>
    <xf numFmtId="1" fontId="21" fillId="0" borderId="9" xfId="2" applyNumberFormat="1" applyFont="1" applyFill="1" applyBorder="1" applyAlignment="1" applyProtection="1">
      <alignment horizontal="center" vertical="center"/>
    </xf>
    <xf numFmtId="0" fontId="28" fillId="0" borderId="9" xfId="4" applyFont="1" applyBorder="1" applyAlignment="1" applyProtection="1">
      <alignment horizontal="center" vertical="center"/>
    </xf>
    <xf numFmtId="0" fontId="21" fillId="0" borderId="0" xfId="4" applyFont="1" applyBorder="1" applyAlignment="1" applyProtection="1">
      <alignment horizontal="center" vertical="center"/>
    </xf>
    <xf numFmtId="0" fontId="22" fillId="9" borderId="9" xfId="4" applyFont="1" applyFill="1" applyBorder="1" applyAlignment="1" applyProtection="1">
      <alignment horizontal="center" vertical="center" wrapText="1"/>
    </xf>
    <xf numFmtId="10" fontId="29" fillId="0" borderId="9" xfId="4" applyNumberFormat="1" applyFont="1" applyFill="1" applyBorder="1" applyAlignment="1" applyProtection="1">
      <alignment horizontal="center" vertical="center"/>
    </xf>
    <xf numFmtId="9" fontId="29" fillId="0" borderId="9" xfId="4" applyNumberFormat="1" applyFont="1" applyFill="1" applyBorder="1" applyAlignment="1" applyProtection="1">
      <alignment horizontal="center" vertical="center"/>
    </xf>
    <xf numFmtId="10" fontId="21" fillId="0" borderId="0" xfId="4" applyNumberFormat="1" applyFont="1" applyBorder="1" applyAlignment="1" applyProtection="1">
      <alignment horizontal="right" vertical="center"/>
    </xf>
    <xf numFmtId="173" fontId="1" fillId="0" borderId="0" xfId="1" applyNumberFormat="1"/>
    <xf numFmtId="174" fontId="1" fillId="0" borderId="0" xfId="1" applyNumberFormat="1"/>
    <xf numFmtId="37" fontId="21" fillId="9" borderId="9" xfId="2" applyNumberFormat="1" applyFont="1" applyFill="1" applyBorder="1" applyProtection="1">
      <alignment horizontal="right"/>
    </xf>
    <xf numFmtId="10" fontId="21" fillId="9" borderId="9" xfId="5" applyNumberFormat="1" applyFont="1" applyFill="1" applyBorder="1" applyAlignment="1" applyProtection="1">
      <alignment horizontal="right"/>
    </xf>
    <xf numFmtId="252" fontId="182" fillId="0" borderId="0" xfId="0" applyNumberFormat="1" applyFont="1" applyBorder="1"/>
    <xf numFmtId="37" fontId="21" fillId="0" borderId="0" xfId="4" applyNumberFormat="1" applyFont="1" applyBorder="1" applyAlignment="1" applyProtection="1">
      <alignment horizontal="right" vertical="center"/>
    </xf>
    <xf numFmtId="259" fontId="21" fillId="0" borderId="9" xfId="2" applyNumberFormat="1" applyFont="1" applyBorder="1" applyProtection="1">
      <alignment horizontal="right"/>
    </xf>
    <xf numFmtId="1" fontId="21" fillId="0" borderId="0" xfId="4" applyNumberFormat="1" applyFont="1" applyFill="1" applyBorder="1" applyAlignment="1" applyProtection="1">
      <alignment horizontal="right" vertical="center"/>
    </xf>
    <xf numFmtId="257" fontId="182" fillId="0" borderId="0" xfId="7" applyNumberFormat="1" applyFont="1" applyBorder="1"/>
    <xf numFmtId="252" fontId="182" fillId="0" borderId="0" xfId="0" applyNumberFormat="1" applyFont="1" applyBorder="1"/>
    <xf numFmtId="43" fontId="187" fillId="0" borderId="0" xfId="0" applyNumberFormat="1" applyFont="1" applyBorder="1" applyAlignment="1">
      <alignment horizontal="right"/>
    </xf>
    <xf numFmtId="43" fontId="187" fillId="0" borderId="0" xfId="0" applyNumberFormat="1" applyFont="1" applyBorder="1" applyAlignment="1">
      <alignment horizontal="right"/>
    </xf>
    <xf numFmtId="252" fontId="182" fillId="0" borderId="0" xfId="0" applyNumberFormat="1" applyFont="1" applyBorder="1"/>
    <xf numFmtId="258" fontId="182" fillId="0" borderId="0" xfId="0" applyNumberFormat="1" applyFont="1" applyBorder="1"/>
  </cellXfs>
  <cellStyles count="2638">
    <cellStyle name="-" xfId="9"/>
    <cellStyle name="_x000a__x000a_JournalTemplate=C:\COMFO\CTALK\JOURSTD.TPL_x000a__x000a_LbStateAddress=3 3 0 251 1 89 2 311_x000a__x000a_LbStateJou" xfId="10"/>
    <cellStyle name="_x000a__x000a_JournalTemplate=C:\COMFO\CTALK\JOURSTD.TPL_x000a__x000a_LbStateAddress=3 3 0 251 1 89 2 311_x000a__x000a_LbStateJou 2" xfId="1376"/>
    <cellStyle name="_x000a_386grabber=M" xfId="11"/>
    <cellStyle name="_x000a_386grabber=M 2" xfId="1377"/>
    <cellStyle name="#" xfId="12"/>
    <cellStyle name="#-" xfId="13"/>
    <cellStyle name="$" xfId="14"/>
    <cellStyle name="$-" xfId="15"/>
    <cellStyle name="$ &amp; ¢" xfId="16"/>
    <cellStyle name="$_101306 CanWest Excel BAck up v14" xfId="17"/>
    <cellStyle name="$_101306 CanWest Excel BAck up v14 2" xfId="1378"/>
    <cellStyle name="$_BCE Model 1-8-07" xfId="18"/>
    <cellStyle name="$_FS" xfId="19"/>
    <cellStyle name="$_FS 2" xfId="1379"/>
    <cellStyle name="$_ILEC LBO" xfId="20"/>
    <cellStyle name="$_ILEC LBO 2" xfId="1380"/>
    <cellStyle name="$_NeptunePIA LBO Model 9-2-03 Final Deepak Final" xfId="21"/>
    <cellStyle name="$_NeptunePIA LBO Model 9-2-03 Final Deepak Final 2" xfId="1381"/>
    <cellStyle name="$_Pro forma ownership analysis_06.12.02_v9" xfId="22"/>
    <cellStyle name="$_Pro forma ownership analysis_06.12.02_v9 2" xfId="1382"/>
    <cellStyle name="$m" xfId="23"/>
    <cellStyle name="$m 2" xfId="1383"/>
    <cellStyle name="$MILLS" xfId="24"/>
    <cellStyle name="%" xfId="25"/>
    <cellStyle name="%-" xfId="26"/>
    <cellStyle name="% 2" xfId="1384"/>
    <cellStyle name="% 3" xfId="2419"/>
    <cellStyle name="% 4" xfId="2573"/>
    <cellStyle name="% Growth" xfId="27"/>
    <cellStyle name="% Growth 2" xfId="1385"/>
    <cellStyle name="% Input" xfId="28"/>
    <cellStyle name="% of Revenues" xfId="29"/>
    <cellStyle name="% of Revenues 2" xfId="1386"/>
    <cellStyle name="% Presentation" xfId="30"/>
    <cellStyle name="%.0" xfId="31"/>
    <cellStyle name="%.0 2" xfId="1387"/>
    <cellStyle name="%.00" xfId="32"/>
    <cellStyle name="%.1" xfId="33"/>
    <cellStyle name="%.1 2" xfId="1388"/>
    <cellStyle name="%.2" xfId="34"/>
    <cellStyle name="%.2 2" xfId="1389"/>
    <cellStyle name="%.3" xfId="35"/>
    <cellStyle name="%.3 2" xfId="1390"/>
    <cellStyle name="%_FS" xfId="36"/>
    <cellStyle name="%_GS Model" xfId="37"/>
    <cellStyle name="%_GS Model 2" xfId="1391"/>
    <cellStyle name="******************************************" xfId="38"/>
    <cellStyle name="****************************************** 2" xfId="1392"/>
    <cellStyle name="*MILLS" xfId="39"/>
    <cellStyle name="*MILLS 2" xfId="1393"/>
    <cellStyle name=";;;" xfId="40"/>
    <cellStyle name=";;; 2" xfId="1394"/>
    <cellStyle name="??" xfId="41"/>
    <cellStyle name="?? [0.00]_??????cula" xfId="42"/>
    <cellStyle name="?? [0]_??" xfId="43"/>
    <cellStyle name="?? 2" xfId="1395"/>
    <cellStyle name="?? 3" xfId="2470"/>
    <cellStyle name="?? 4" xfId="2571"/>
    <cellStyle name="?????_VERA" xfId="44"/>
    <cellStyle name="???[0]_~ME0858" xfId="45"/>
    <cellStyle name="???_~ME0858" xfId="46"/>
    <cellStyle name="??_?.????" xfId="47"/>
    <cellStyle name="\" xfId="48"/>
    <cellStyle name="\ 2" xfId="1396"/>
    <cellStyle name="\_BLS_Directories_v6" xfId="49"/>
    <cellStyle name="\_BLS_Directories_v6 2" xfId="1397"/>
    <cellStyle name="\_bluebirdacdil13" xfId="50"/>
    <cellStyle name="\_bluebirdacdil13 2" xfId="1398"/>
    <cellStyle name="\_ecomps7w" xfId="51"/>
    <cellStyle name="\_ecomps7w 2" xfId="1399"/>
    <cellStyle name="\_equitycomps8" xfId="52"/>
    <cellStyle name="\_equitycomps8 2" xfId="1400"/>
    <cellStyle name="\_equitycomps9" xfId="53"/>
    <cellStyle name="\_equitycomps9 2" xfId="1401"/>
    <cellStyle name="\_houston Isabel" xfId="54"/>
    <cellStyle name="\_houston Isabel 2" xfId="1402"/>
    <cellStyle name="\_hybrid2" xfId="55"/>
    <cellStyle name="\_hybrid2 2" xfId="1403"/>
    <cellStyle name="\_ITXCcomps" xfId="56"/>
    <cellStyle name="\_ITXCcomps 2" xfId="1404"/>
    <cellStyle name="\_newcomps16" xfId="57"/>
    <cellStyle name="\_newcomps16 2" xfId="1405"/>
    <cellStyle name="\_ravenpitch3" xfId="58"/>
    <cellStyle name="\_ravenpitch3 2" xfId="1406"/>
    <cellStyle name="\_ravenpitch32" xfId="59"/>
    <cellStyle name="\_ravenpitch32 2" xfId="1407"/>
    <cellStyle name="]_EUARNEW5_EMF Reports - Shipments" xfId="60"/>
    <cellStyle name="]_Labour Efficiency" xfId="61"/>
    <cellStyle name="_$accounting" xfId="62"/>
    <cellStyle name="_$accounting 2" xfId="1408"/>
    <cellStyle name="_$accounting_BCE Model 1-8-07" xfId="63"/>
    <cellStyle name="_$accounting_BCE Model 1-8-07 2" xfId="1409"/>
    <cellStyle name="_$accounting_PNC_merger_plan_divestitures_05" xfId="64"/>
    <cellStyle name="_$accounting_PNC_merger_plan_divestitures_05 2" xfId="1410"/>
    <cellStyle name="_$accounting_PNC_merger_plan_divestitures_05_BCE Model 1-8-07" xfId="65"/>
    <cellStyle name="_%(SignOnly)" xfId="66"/>
    <cellStyle name="_%(SignOnly) 2" xfId="1411"/>
    <cellStyle name="_%(SignOnly)_01 model" xfId="67"/>
    <cellStyle name="_%(SignOnly)_01 model 2" xfId="1412"/>
    <cellStyle name="_%(SignOnly)_02 Potential Partner Ability to Pay Analysis2" xfId="68"/>
    <cellStyle name="_%(SignOnly)_02 Potential Partner Ability to Pay Analysis2 2" xfId="1413"/>
    <cellStyle name="_%(SignOnly)_12 Merger Plans" xfId="69"/>
    <cellStyle name="_%(SignOnly)_12 Merger Plans 2" xfId="1414"/>
    <cellStyle name="_%(SignOnly)_AVP - prev. 06 financials" xfId="70"/>
    <cellStyle name="_%(SignOnly)_AVP - prev. 06 financials 2" xfId="1415"/>
    <cellStyle name="_%(SignOnly)_AVP - prev. 06 financials_BCE Model 1-8-07" xfId="71"/>
    <cellStyle name="_%(SignOnly)_AVP - prev. 06 financials_BCE Model 1-8-07 2" xfId="1416"/>
    <cellStyle name="_%(SignOnly)_bank_csc_Q2_2001_c1" xfId="72"/>
    <cellStyle name="_%(SignOnly)_bank_csc_Q2_2001_c1 2" xfId="1417"/>
    <cellStyle name="_%(SignOnly)_bank_csc_Q2_2001_c1_BCE Model 1-8-07" xfId="73"/>
    <cellStyle name="_%(SignOnly)_bank_csc_Q2_2001_c1_BCE Model 1-8-07 2" xfId="1418"/>
    <cellStyle name="_%(SignOnly)_FigTech Merger Model_02" xfId="74"/>
    <cellStyle name="_%(SignOnly)_FigTech Merger Model_02 2" xfId="1419"/>
    <cellStyle name="_%(SignOnly)_Football Field" xfId="75"/>
    <cellStyle name="_%(SignOnly)_Football Field 2" xfId="1420"/>
    <cellStyle name="_%(SignOnly)_Football Field_BCE Model 1-8-07" xfId="76"/>
    <cellStyle name="_%(SignOnly)_Football Field_BCE Model 1-8-07 2" xfId="1421"/>
    <cellStyle name="_%(SignOnly)_PNC_merger_plan_divestitures_05" xfId="77"/>
    <cellStyle name="_%(SignOnly)_PNC_merger_plan_divestitures_05 2" xfId="1422"/>
    <cellStyle name="_%(SignOnly)_Summary Valuation Analysis" xfId="78"/>
    <cellStyle name="_%(SignOnly)_Summary Valuation Analysis 2" xfId="1423"/>
    <cellStyle name="_%(SignOnly)_Synergies" xfId="79"/>
    <cellStyle name="_%(SignOnly)_Synergies 2" xfId="1424"/>
    <cellStyle name="_%(SignSpaceOnly)" xfId="80"/>
    <cellStyle name="_%(SignSpaceOnly)_01 model" xfId="81"/>
    <cellStyle name="_%(SignSpaceOnly)_02 Potential Partner Ability to Pay Analysis2" xfId="82"/>
    <cellStyle name="_%(SignSpaceOnly)_12 Merger Plans" xfId="83"/>
    <cellStyle name="_%(SignSpaceOnly)_AVP - prev. 06 financials" xfId="84"/>
    <cellStyle name="_%(SignSpaceOnly)_AVP - prev. 06 financials 2" xfId="1425"/>
    <cellStyle name="_%(SignSpaceOnly)_AVP - prev. 06 financials_BCE Model 1-8-07" xfId="85"/>
    <cellStyle name="_%(SignSpaceOnly)_AVP - prev. 06 financials_BCE Model 1-8-07 2" xfId="1426"/>
    <cellStyle name="_%(SignSpaceOnly)_bank_csc_Q2_2001_c1" xfId="86"/>
    <cellStyle name="_%(SignSpaceOnly)_bank_csc_Q2_2001_c1 2" xfId="1427"/>
    <cellStyle name="_%(SignSpaceOnly)_bank_csc_Q2_2001_c1_BCE Model 1-8-07" xfId="87"/>
    <cellStyle name="_%(SignSpaceOnly)_bank_csc_Q2_2001_c1_BCE Model 1-8-07 2" xfId="1428"/>
    <cellStyle name="_%(SignSpaceOnly)_FigTech Merger Model_02" xfId="88"/>
    <cellStyle name="_%(SignSpaceOnly)_Football Field" xfId="89"/>
    <cellStyle name="_%(SignSpaceOnly)_Football Field 2" xfId="1429"/>
    <cellStyle name="_%(SignSpaceOnly)_Football Field_BCE Model 1-8-07" xfId="90"/>
    <cellStyle name="_%(SignSpaceOnly)_Football Field_BCE Model 1-8-07 2" xfId="1430"/>
    <cellStyle name="_%(SignSpaceOnly)_PNC_merger_plan_divestitures_05" xfId="91"/>
    <cellStyle name="_%(SignSpaceOnly)_Summary Valuation Analysis" xfId="92"/>
    <cellStyle name="_%(SignSpaceOnly)_Synergies" xfId="93"/>
    <cellStyle name="_051129 DCF Summary" xfId="94"/>
    <cellStyle name="_051129 DCF Summary 2" xfId="1431"/>
    <cellStyle name="_101306 CanWest Excel BAck up v14" xfId="95"/>
    <cellStyle name="_101306 CanWest Excel BAck up v14 2" xfId="1432"/>
    <cellStyle name="_accounting" xfId="96"/>
    <cellStyle name="_accounting 2" xfId="1433"/>
    <cellStyle name="_accounting_BCE Model 1-8-07" xfId="97"/>
    <cellStyle name="_accounting_BCE Model 1-8-07 2" xfId="1434"/>
    <cellStyle name="_accounting_monet_final_w_output" xfId="98"/>
    <cellStyle name="_accounting_monet_final_w_output 2" xfId="1435"/>
    <cellStyle name="_accounting_monet_final_w_output_BCE Model 1-8-07" xfId="99"/>
    <cellStyle name="_accounting_monet_final_w_output_BCE Model 1-8-07 2" xfId="1436"/>
    <cellStyle name="_Altman Model_6.18.07_DRIVERS" xfId="100"/>
    <cellStyle name="_Altman Model_6.18.07_DRIVERS 2" xfId="1437"/>
    <cellStyle name="_Barnet_LBO_05.18.05" xfId="101"/>
    <cellStyle name="_Barnet_LBO_05.18.05 2" xfId="1438"/>
    <cellStyle name="_Barnet_LBO_05.18.05_Bison LBO Analysis_Sponsor_02.07.07" xfId="102"/>
    <cellStyle name="_Barnet_LBO_05.18.05_Bison LBO Analysis_Sponsor_02.07.07 2" xfId="1439"/>
    <cellStyle name="_Barnet_LBO_05.18.05_Bison LBO Analysis_Sponsor_02.07.07_1" xfId="103"/>
    <cellStyle name="_Barnet_LBO_05.18.05_Bison LBO Analysis_Sponsor_02.07.07_1 2" xfId="1440"/>
    <cellStyle name="_BCE Model 1-8-07" xfId="104"/>
    <cellStyle name="_BCE Model 1-8-07 2" xfId="1441"/>
    <cellStyle name="_BU Rollup" xfId="105"/>
    <cellStyle name="_BU Rollup 2" xfId="1442"/>
    <cellStyle name="_Check of Synergy DCFs 11-01-04_v5" xfId="106"/>
    <cellStyle name="_Check of Synergy DCFs 11-01-04_v5 2" xfId="1443"/>
    <cellStyle name="_CKFR Model 11-30-06" xfId="107"/>
    <cellStyle name="_CKFR Model 11-30-06 2" xfId="1444"/>
    <cellStyle name="_COMBO PAGESv.5" xfId="108"/>
    <cellStyle name="_COMBO PAGESv.5 2" xfId="1445"/>
    <cellStyle name="_Comma" xfId="109"/>
    <cellStyle name="_Comma 2" xfId="1446"/>
    <cellStyle name="_Comma[0]" xfId="110"/>
    <cellStyle name="_Comma[0] 2" xfId="1447"/>
    <cellStyle name="_Comma[0]_BCE Model 1-8-07" xfId="111"/>
    <cellStyle name="_Comma[0]_BCE Model 1-8-07 2" xfId="1448"/>
    <cellStyle name="_Comma_01 Fig Tech CSC 1Q03" xfId="112"/>
    <cellStyle name="_Comma_01 Fig Tech CSC 1Q03 2" xfId="1449"/>
    <cellStyle name="_Comma_01 Financial Model" xfId="113"/>
    <cellStyle name="_Comma_01 Financial Model 2" xfId="1450"/>
    <cellStyle name="_Comma_01 Template without numbers sent out" xfId="114"/>
    <cellStyle name="_Comma_01 Template without numbers sent out 2" xfId="1451"/>
    <cellStyle name="_Comma_02 Potential Partner Ability to Pay Analysis2" xfId="115"/>
    <cellStyle name="_Comma_02 Potential Partner Ability to Pay Analysis2 2" xfId="1452"/>
    <cellStyle name="_Comma_02 Quick Model_PQ Corporation" xfId="116"/>
    <cellStyle name="_Comma_02 Quick Model_PQ Corporation 2" xfId="1453"/>
    <cellStyle name="_Comma_101306 CanWest Excel BAck up v14" xfId="117"/>
    <cellStyle name="_Comma_101306 CanWest Excel BAck up v14 2" xfId="1454"/>
    <cellStyle name="_Comma_12 Merger Plans" xfId="118"/>
    <cellStyle name="_Comma_12 Merger Plans 2" xfId="1455"/>
    <cellStyle name="_Comma_20020403 Regional Data 04" xfId="119"/>
    <cellStyle name="_Comma_20020403 Regional Data 04 2" xfId="1456"/>
    <cellStyle name="_Comma_20020403 Regional Data 04 Final" xfId="120"/>
    <cellStyle name="_Comma_20020403 Regional Data 04 Final 2" xfId="1457"/>
    <cellStyle name="_Comma_20020403 Template for Exchange - Regional Data 01" xfId="121"/>
    <cellStyle name="_Comma_20020403 Template for Exchange - Regional Data 01 2" xfId="1458"/>
    <cellStyle name="_Comma_20020404 Capex 02 All" xfId="122"/>
    <cellStyle name="_Comma_20020404 Capex 02 All 2" xfId="1459"/>
    <cellStyle name="_Comma_accretion dilution analysis" xfId="123"/>
    <cellStyle name="_Comma_accretion dilution analysis 2" xfId="1460"/>
    <cellStyle name="_Comma_Acquisition Ops 3" xfId="124"/>
    <cellStyle name="_Comma_Acquisition Ops 3 2" xfId="1461"/>
    <cellStyle name="_Comma_AVP" xfId="125"/>
    <cellStyle name="_Comma_AVP 2" xfId="1462"/>
    <cellStyle name="_Comma_BCE Model 1-8-07" xfId="126"/>
    <cellStyle name="_Comma_BCE Model 1-8-07 2" xfId="1463"/>
    <cellStyle name="_Comma_Book1" xfId="127"/>
    <cellStyle name="_Comma_Book1 2" xfId="1464"/>
    <cellStyle name="_Comma_Book2" xfId="128"/>
    <cellStyle name="_Comma_Book2 2" xfId="1465"/>
    <cellStyle name="_Comma_buyer_analysis" xfId="129"/>
    <cellStyle name="_Comma_buyer_analysis 2" xfId="1466"/>
    <cellStyle name="_Comma_Check of Synergy DCFs 11-01-04_v5" xfId="130"/>
    <cellStyle name="_Comma_Check of Synergy DCFs 11-01-04_v5 2" xfId="1467"/>
    <cellStyle name="_Comma_CKFR Model 11-30-06" xfId="131"/>
    <cellStyle name="_Comma_CKFR Model 11-30-06 2" xfId="1468"/>
    <cellStyle name="_Comma_Comparative Balance Sheets" xfId="132"/>
    <cellStyle name="_Comma_Comparative Balance Sheets 2" xfId="1469"/>
    <cellStyle name="_Comma_CSC with WACC" xfId="133"/>
    <cellStyle name="_Comma_CSC with WACC 2" xfId="1470"/>
    <cellStyle name="_Comma_Dave Model Final v 1" xfId="134"/>
    <cellStyle name="_Comma_Dave Model Final v 1 2" xfId="1471"/>
    <cellStyle name="_Comma_DCF Analysis" xfId="135"/>
    <cellStyle name="_Comma_DCF Analysis 2" xfId="1472"/>
    <cellStyle name="_Comma_DIS Go Private Analysis v23" xfId="136"/>
    <cellStyle name="_Comma_DIS Go Private Analysis v23 2" xfId="1473"/>
    <cellStyle name="_Comma_Eagle Ridge Cash Flow 01-10-02_GS" xfId="137"/>
    <cellStyle name="_Comma_Eagle Ridge Cash Flow 01-10-02_GS 2" xfId="1474"/>
    <cellStyle name="_Comma_Excel Inserts_v4" xfId="138"/>
    <cellStyle name="_Comma_Excel Inserts_v4 2" xfId="1475"/>
    <cellStyle name="_Comma_Final Canadian Bank Comp (sent to IBD)FORM" xfId="139"/>
    <cellStyle name="_Comma_Final Canadian Bank Comp (sent to IBD)FORM 2" xfId="1476"/>
    <cellStyle name="_Comma_Football Field" xfId="140"/>
    <cellStyle name="_Comma_Football Field 2" xfId="1477"/>
    <cellStyle name="_Comma_IBES_EPS_Estimates" xfId="141"/>
    <cellStyle name="_Comma_IBES_EPS_Estimates 2" xfId="1478"/>
    <cellStyle name="_Comma_Master_Telecom_Equipment_CSCb" xfId="142"/>
    <cellStyle name="_Comma_Master_Telecom_Equipment_CSCb 2" xfId="1479"/>
    <cellStyle name="_Comma_Merger Model - Exec" xfId="143"/>
    <cellStyle name="_Comma_Merger Model - Exec 2" xfId="1480"/>
    <cellStyle name="_Comma_merger plans" xfId="144"/>
    <cellStyle name="_Comma_merger plans 2" xfId="1481"/>
    <cellStyle name="_Comma_MotLion Projections may" xfId="145"/>
    <cellStyle name="_Comma_MotLion Projections may 2" xfId="1482"/>
    <cellStyle name="_Comma_Old Life CSC" xfId="146"/>
    <cellStyle name="_Comma_Old Life CSC 2" xfId="1483"/>
    <cellStyle name="_Comma_pace_merger plans" xfId="147"/>
    <cellStyle name="_Comma_pace_merger plans 2" xfId="1484"/>
    <cellStyle name="_Comma_Palm Model 10_05" xfId="148"/>
    <cellStyle name="_Comma_Palm Model 10_05 2" xfId="1485"/>
    <cellStyle name="_Comma_PNC_PF_2Q_update" xfId="149"/>
    <cellStyle name="_Comma_PNC_PF_2Q_update 2" xfId="1486"/>
    <cellStyle name="_Comma_Potential Strategic Partners" xfId="150"/>
    <cellStyle name="_Comma_Potential Strategic Partners 2" xfId="1487"/>
    <cellStyle name="_Comma_QVC LBO Model 2-12-03 v3" xfId="151"/>
    <cellStyle name="_Comma_QVC LBO Model 2-12-03 v3 2" xfId="1488"/>
    <cellStyle name="_Comma_RJB Long LBO LTM" xfId="152"/>
    <cellStyle name="_Comma_RJB Long LBO LTM 2" xfId="1489"/>
    <cellStyle name="_Comma_Summary Valuation Analysis" xfId="153"/>
    <cellStyle name="_Comma_Summary Valuation Analysis 2" xfId="1490"/>
    <cellStyle name="_Comma_Synergies" xfId="154"/>
    <cellStyle name="_Comma_Synergies 2" xfId="1491"/>
    <cellStyle name="_Comma_Troon Financials 8-1-02" xfId="155"/>
    <cellStyle name="_Comma_Troon Financials 8-1-02 2" xfId="1492"/>
    <cellStyle name="_Comma_Troon_EBITDA" xfId="156"/>
    <cellStyle name="_Comma_Troon_EBITDA 2" xfId="1493"/>
    <cellStyle name="_Comma_Valuation Overview - June 2001" xfId="157"/>
    <cellStyle name="_Comma_Valuation Overview - June 2001 2" xfId="1494"/>
    <cellStyle name="_Comma_Valuation_Troon dpak 8-5-02 v3" xfId="158"/>
    <cellStyle name="_Comma_Valuation_Troon dpak 8-5-02 v3 2" xfId="1495"/>
    <cellStyle name="_Currency" xfId="159"/>
    <cellStyle name="_Currency 2" xfId="1496"/>
    <cellStyle name="_Currency(GBP)" xfId="160"/>
    <cellStyle name="_Currency(GBP) 2" xfId="1497"/>
    <cellStyle name="_Currency(GBP)_BCE Model 1-8-07" xfId="161"/>
    <cellStyle name="_Currency(GBP)_BCE Model 1-8-07 2" xfId="1498"/>
    <cellStyle name="_Currency_01 Fig Tech CSC 1Q03" xfId="162"/>
    <cellStyle name="_Currency_01 Fig Tech CSC 1Q03 2" xfId="1499"/>
    <cellStyle name="_Currency_01 Financial Model" xfId="163"/>
    <cellStyle name="_Currency_01 Financial Model 2" xfId="1500"/>
    <cellStyle name="_Currency_01 Template without numbers sent out" xfId="164"/>
    <cellStyle name="_Currency_01 Template without numbers sent out 2" xfId="1501"/>
    <cellStyle name="_Currency_02 Financials" xfId="165"/>
    <cellStyle name="_Currency_02 Financials 2" xfId="1502"/>
    <cellStyle name="_Currency_02 Financials_BCE Model 1-8-07" xfId="166"/>
    <cellStyle name="_Currency_02 Financials_BCE Model 1-8-07 2" xfId="1503"/>
    <cellStyle name="_Currency_02 Potential Partner Ability to Pay Analysis2" xfId="167"/>
    <cellStyle name="_Currency_02 Potential Partner Ability to Pay Analysis2 2" xfId="1504"/>
    <cellStyle name="_Currency_02 Quick Model_PQ Corporation" xfId="168"/>
    <cellStyle name="_Currency_02 Quick Model_PQ Corporation 2" xfId="1505"/>
    <cellStyle name="_Currency_04 Financials" xfId="169"/>
    <cellStyle name="_Currency_04 Financials 2" xfId="1506"/>
    <cellStyle name="_Currency_04 Financials_BCE Model 1-8-07" xfId="170"/>
    <cellStyle name="_Currency_04 Financials_BCE Model 1-8-07 2" xfId="1507"/>
    <cellStyle name="_Currency_101306 CanWest Excel BAck up v14" xfId="171"/>
    <cellStyle name="_Currency_101306 CanWest Excel BAck up v14 2" xfId="1508"/>
    <cellStyle name="_Currency_101306 CanWest Excel BAck up v14_BCE LBO Analysis (02_4_07) MASTER V6" xfId="172"/>
    <cellStyle name="_Currency_101306 CanWest Excel BAck up v14_BCE LBO Analysis (02_4_07) MASTER V6 2" xfId="1509"/>
    <cellStyle name="_Currency_101306 CanWest Excel BAck up v14_Bison LBO Analysis_Sponsors_03.06.07_to Citi" xfId="173"/>
    <cellStyle name="_Currency_101306 CanWest Excel BAck up v14_Bison LBO Analysis_Sponsors_03.06.07_to Citi 2" xfId="1510"/>
    <cellStyle name="_Currency_101306 CanWest Excel BAck up v14_Bison LBO Analysis_Sponsors_TO CITI FOR FORMAT (2)" xfId="174"/>
    <cellStyle name="_Currency_101306 CanWest Excel BAck up v14_Bison LBO Analysis_Sponsors_TO CITI FOR FORMAT (2) 2" xfId="1511"/>
    <cellStyle name="_Currency_101306 CanWest Excel BAck up v14_Bison LBO Analysis_Sponsors_TO CITI FOR FORMAT (2)_1" xfId="175"/>
    <cellStyle name="_Currency_101306 CanWest Excel BAck up v14_Bison LBO Analysis_Sponsors_TO CITI FOR FORMAT (2)_1 2" xfId="1512"/>
    <cellStyle name="_Currency_12 Merger Plans" xfId="176"/>
    <cellStyle name="_Currency_12 Merger Plans 2" xfId="1513"/>
    <cellStyle name="_Currency_20020403 Regional Data 04" xfId="177"/>
    <cellStyle name="_Currency_20020403 Regional Data 04 2" xfId="1514"/>
    <cellStyle name="_Currency_20020403 Regional Data 04 Final" xfId="178"/>
    <cellStyle name="_Currency_20020403 Regional Data 04 Final 2" xfId="1515"/>
    <cellStyle name="_Currency_20020403 Template for Exchange - Regional Data 01" xfId="179"/>
    <cellStyle name="_Currency_20020403 Template for Exchange - Regional Data 01 2" xfId="1516"/>
    <cellStyle name="_Currency_20020404 Capex 02 All" xfId="180"/>
    <cellStyle name="_Currency_20020404 Capex 02 All 2" xfId="1517"/>
    <cellStyle name="_Currency_accretion dilution analysis" xfId="181"/>
    <cellStyle name="_Currency_accretion dilution analysis 2" xfId="1518"/>
    <cellStyle name="_Currency_Acquisition Ops 3" xfId="182"/>
    <cellStyle name="_Currency_Acquisition Ops 3 2" xfId="1519"/>
    <cellStyle name="_Currency_Alamosa Merger" xfId="183"/>
    <cellStyle name="_Currency_Alamosa Merger 2" xfId="1520"/>
    <cellStyle name="_Currency_Alamosa Standalone6" xfId="184"/>
    <cellStyle name="_Currency_Alamosa Standalone6 2" xfId="1521"/>
    <cellStyle name="_Currency_Alamosa Standalone8b" xfId="185"/>
    <cellStyle name="_Currency_Alamosa Standalone8b 2" xfId="1522"/>
    <cellStyle name="_Currency_AVP" xfId="186"/>
    <cellStyle name="_Currency_AVP - prev. 06 financials" xfId="187"/>
    <cellStyle name="_Currency_AVP - prev. 06 financials 2" xfId="1524"/>
    <cellStyle name="_Currency_AVP - prev. 06 financials_BCE Model 1-8-07" xfId="188"/>
    <cellStyle name="_Currency_AVP 2" xfId="1523"/>
    <cellStyle name="_Currency_AVP 3" xfId="1921"/>
    <cellStyle name="_Currency_AVP 4" xfId="2569"/>
    <cellStyle name="_Currency_avp_Palm Model 10_05" xfId="189"/>
    <cellStyle name="_Currency_avp_Palm Model 10_05 2" xfId="1525"/>
    <cellStyle name="_Currency_bank_csc_Q2_2001_c1" xfId="190"/>
    <cellStyle name="_Currency_bank_csc_Q2_2001_c1 2" xfId="1526"/>
    <cellStyle name="_Currency_BCE Model 1-8-07" xfId="191"/>
    <cellStyle name="_Currency_BCE Model 1-8-07 2" xfId="1527"/>
    <cellStyle name="_Currency_Book1" xfId="192"/>
    <cellStyle name="_Currency_Book1 2" xfId="1528"/>
    <cellStyle name="_Currency_Book2" xfId="193"/>
    <cellStyle name="_Currency_Book2 2" xfId="1529"/>
    <cellStyle name="_Currency_Buyer List" xfId="194"/>
    <cellStyle name="_Currency_Buyer List 2" xfId="1530"/>
    <cellStyle name="_Currency_Buyer List_BCE Model 1-8-07" xfId="195"/>
    <cellStyle name="_Currency_Buyer List_BCE Model 1-8-07 2" xfId="1531"/>
    <cellStyle name="_Currency_buyer_analysis" xfId="196"/>
    <cellStyle name="_Currency_buyer_analysis 2" xfId="1532"/>
    <cellStyle name="_Currency_Check of Synergy DCFs 11-01-04_v5" xfId="197"/>
    <cellStyle name="_Currency_Check of Synergy DCFs 11-01-04_v5 2" xfId="1533"/>
    <cellStyle name="_Currency_CKFR Model 11-30-06" xfId="198"/>
    <cellStyle name="_Currency_CKFR Model 11-30-06 2" xfId="1534"/>
    <cellStyle name="_Currency_com_ic_universe_6" xfId="199"/>
    <cellStyle name="_Currency_com_ic_universe_6 2" xfId="1535"/>
    <cellStyle name="_Currency_Combo RW 125" xfId="200"/>
    <cellStyle name="_Currency_Combo RW 125 2" xfId="1536"/>
    <cellStyle name="_Currency_Comparative Balance Sheets" xfId="201"/>
    <cellStyle name="_Currency_Comparative Balance Sheets 2" xfId="1537"/>
    <cellStyle name="_Currency_CSC Update_Status of Companies_11_19" xfId="202"/>
    <cellStyle name="_Currency_CSC Update_Status of Companies_11_19 2" xfId="1538"/>
    <cellStyle name="_Currency_CSC with WACC" xfId="203"/>
    <cellStyle name="_Currency_CSC with WACC 2" xfId="1539"/>
    <cellStyle name="_Currency_CSC_Palm_Sum_of_Parts_4_20_01" xfId="204"/>
    <cellStyle name="_Currency_CSC_Palm_Sum_of_Parts_4_20_01 2" xfId="1540"/>
    <cellStyle name="_Currency_CSC_Palm_Sum_of_Parts_4_20_01_BCE Model 1-8-07" xfId="205"/>
    <cellStyle name="_Currency_CSC_Palm_Sum_of_Parts_4_20_01_BCE Model 1-8-07 2" xfId="1541"/>
    <cellStyle name="_Currency_CSC_Palm_Sum_of_Parts_5_23_01a" xfId="206"/>
    <cellStyle name="_Currency_CSC_Palm_Sum_of_Parts_5_23_01a 2" xfId="1542"/>
    <cellStyle name="_Currency_CSC_Palm_Sum_of_Parts_5_23_01a_BCE Model 1-8-07" xfId="207"/>
    <cellStyle name="_Currency_CSC_Palm_Sum_of_Parts_5_23_01a_BCE Model 1-8-07 2" xfId="1543"/>
    <cellStyle name="_Currency_Dave Model Final v 1" xfId="208"/>
    <cellStyle name="_Currency_Dave Model Final v 1 2" xfId="1544"/>
    <cellStyle name="_Currency_DCF Analysis" xfId="209"/>
    <cellStyle name="_Currency_DCF Analysis 2" xfId="1545"/>
    <cellStyle name="_Currency_DIS Go Private Analysis v23" xfId="210"/>
    <cellStyle name="_Currency_DIS Go Private Analysis v23 2" xfId="1546"/>
    <cellStyle name="_Currency_Eagle Ridge Cash Flow 01-10-02_GS" xfId="211"/>
    <cellStyle name="_Currency_Eagle Ridge Cash Flow 01-10-02_GS 2" xfId="1547"/>
    <cellStyle name="_Currency_Eutelsat and Capex Analysis" xfId="212"/>
    <cellStyle name="_Currency_Eutelsat and Capex Analysis 2" xfId="1548"/>
    <cellStyle name="_Currency_Excel Inserts_v4" xfId="213"/>
    <cellStyle name="_Currency_Excel Inserts_v4 2" xfId="1549"/>
    <cellStyle name="_Currency_Final Canadian Bank Comp (sent to IBD)FORM" xfId="214"/>
    <cellStyle name="_Currency_Final Canadian Bank Comp (sent to IBD)FORM 2" xfId="1550"/>
    <cellStyle name="_Currency_Football Field" xfId="215"/>
    <cellStyle name="_Currency_Football Field 2" xfId="1551"/>
    <cellStyle name="_Currency_GQ" xfId="216"/>
    <cellStyle name="_Currency_GQ 2" xfId="1552"/>
    <cellStyle name="_Currency_GS Model" xfId="217"/>
    <cellStyle name="_Currency_GS Model 2" xfId="1553"/>
    <cellStyle name="_Currency_IBES_EPS_Estimates" xfId="218"/>
    <cellStyle name="_Currency_IBES_EPS_Estimates 2" xfId="1554"/>
    <cellStyle name="_Currency_Master_Telecom_Equipment_CSCb" xfId="219"/>
    <cellStyle name="_Currency_Master_Telecom_Equipment_CSCb 2" xfId="1555"/>
    <cellStyle name="_Currency_Merger Model - Exec" xfId="220"/>
    <cellStyle name="_Currency_Merger Model - Exec 2" xfId="1556"/>
    <cellStyle name="_Currency_merger plans" xfId="221"/>
    <cellStyle name="_Currency_merger plans 2" xfId="1557"/>
    <cellStyle name="_Currency_monet2.4_temp" xfId="222"/>
    <cellStyle name="_Currency_monet2.4_temp 2" xfId="1558"/>
    <cellStyle name="_Currency_monet2.8" xfId="223"/>
    <cellStyle name="_Currency_monet2.8 2" xfId="1559"/>
    <cellStyle name="_Currency_MotLion Projections may" xfId="224"/>
    <cellStyle name="_Currency_MotLion Projections may 2" xfId="1560"/>
    <cellStyle name="_Currency_Old Life CSC" xfId="225"/>
    <cellStyle name="_Currency_Old Life CSC 2" xfId="1561"/>
    <cellStyle name="_Currency_pace_merger plans" xfId="226"/>
    <cellStyle name="_Currency_pace_merger plans 2" xfId="1562"/>
    <cellStyle name="_Currency_Palm Model 10_05" xfId="227"/>
    <cellStyle name="_Currency_Palm Model 10_05 2" xfId="1563"/>
    <cellStyle name="_Currency_pdf file" xfId="228"/>
    <cellStyle name="_Currency_pdf file 2" xfId="1564"/>
    <cellStyle name="_Currency_PNC_PF_2Q_update" xfId="229"/>
    <cellStyle name="_Currency_PNC_PF_2Q_update 2" xfId="1565"/>
    <cellStyle name="_Currency_Potential Strategic Partners" xfId="230"/>
    <cellStyle name="_Currency_Potential Strategic Partners 2" xfId="1566"/>
    <cellStyle name="_Currency_QVC LBO Model 2-12-03 v3" xfId="231"/>
    <cellStyle name="_Currency_QVC LBO Model 2-12-03 v3 2" xfId="1567"/>
    <cellStyle name="_Currency_RJB Long LBO LTM" xfId="232"/>
    <cellStyle name="_Currency_RJB Long LBO LTM 2" xfId="1568"/>
    <cellStyle name="_Currency_Roberts Standalone14 Quarterly 2" xfId="233"/>
    <cellStyle name="_Currency_Roberts Standalone14 Quarterly 2 2" xfId="1569"/>
    <cellStyle name="_Currency_Sheet1" xfId="234"/>
    <cellStyle name="_Currency_Sheet1 2" xfId="1570"/>
    <cellStyle name="_Currency_Sheet1_BCE LBO Analysis (02_4_07) MASTER V6" xfId="235"/>
    <cellStyle name="_Currency_Sheet1_BCE LBO Analysis (02_4_07) MASTER V6 2" xfId="1571"/>
    <cellStyle name="_Currency_Sheet1_BCE Model 1-8-07" xfId="236"/>
    <cellStyle name="_Currency_Sheet1_BCE Model 1-8-07 2" xfId="1572"/>
    <cellStyle name="_Currency_Sheet1_Bison LBO Analysis_Sponsors_03.06.07_to Citi" xfId="237"/>
    <cellStyle name="_Currency_Sheet1_Bison LBO Analysis_Sponsors_03.06.07_to Citi 2" xfId="1573"/>
    <cellStyle name="_Currency_Sheet1_Bison LBO Analysis_Sponsors_TO CITI FOR FORMAT (2)" xfId="238"/>
    <cellStyle name="_Currency_Sheet1_Bison LBO Analysis_Sponsors_TO CITI FOR FORMAT (2) 2" xfId="1574"/>
    <cellStyle name="_Currency_Sheet1_Bison LBO Analysis_Sponsors_TO CITI FOR FORMAT (2)_1" xfId="239"/>
    <cellStyle name="_Currency_Sheet1_Bison LBO Analysis_Sponsors_TO CITI FOR FORMAT (2)_1 2" xfId="1575"/>
    <cellStyle name="_Currency_Summary Sheets2" xfId="240"/>
    <cellStyle name="_Currency_Summary Sheets2 2" xfId="1576"/>
    <cellStyle name="_Currency_Summary Valuation Analysis" xfId="241"/>
    <cellStyle name="_Currency_Summary Valuation Analysis 2" xfId="1577"/>
    <cellStyle name="_Currency_Synergies" xfId="242"/>
    <cellStyle name="_Currency_Synergies 2" xfId="1578"/>
    <cellStyle name="_Currency_Troon Financials 8-1-02" xfId="243"/>
    <cellStyle name="_Currency_Troon Financials 8-1-02 2" xfId="1579"/>
    <cellStyle name="_Currency_Troon_EBITDA" xfId="244"/>
    <cellStyle name="_Currency_Troon_EBITDA 2" xfId="1580"/>
    <cellStyle name="_Currency_Valuation Overview - June 2001" xfId="245"/>
    <cellStyle name="_Currency_Valuation Overview - June 2001 2" xfId="1581"/>
    <cellStyle name="_Currency_Valuation_Troon dpak 8-5-02 v3" xfId="246"/>
    <cellStyle name="_Currency_Valuation_Troon dpak 8-5-02 v3 2" xfId="1582"/>
    <cellStyle name="_Currency_VIA_Evans NOL Analysis" xfId="247"/>
    <cellStyle name="_Currency_VIA_Evans NOL Analysis 2" xfId="1583"/>
    <cellStyle name="_Currency_WOW Standalone Quarterly 2" xfId="248"/>
    <cellStyle name="_Currency_WOW Standalone Quarterly 2 2" xfId="1584"/>
    <cellStyle name="_Currency_xratio - historical mkt val" xfId="249"/>
    <cellStyle name="_Currency_xratio - historical mkt val 2" xfId="1585"/>
    <cellStyle name="_CurrencySpace" xfId="250"/>
    <cellStyle name="_CurrencySpace 2" xfId="1586"/>
    <cellStyle name="_CurrencySpace_01 Fig Tech CSC 1Q03" xfId="251"/>
    <cellStyle name="_CurrencySpace_01 Financial Model" xfId="252"/>
    <cellStyle name="_CurrencySpace_01 Financial Model 2" xfId="1587"/>
    <cellStyle name="_CurrencySpace_01 Template without numbers sent out" xfId="253"/>
    <cellStyle name="_CurrencySpace_01 Template without numbers sent out 2" xfId="1588"/>
    <cellStyle name="_CurrencySpace_02 Financials" xfId="254"/>
    <cellStyle name="_CurrencySpace_02 Financials 2" xfId="1589"/>
    <cellStyle name="_CurrencySpace_02 Financials_BCE Model 1-8-07" xfId="255"/>
    <cellStyle name="_CurrencySpace_02 Financials_BCE Model 1-8-07 2" xfId="1590"/>
    <cellStyle name="_CurrencySpace_02 Potential Partner Ability to Pay Analysis2" xfId="256"/>
    <cellStyle name="_CurrencySpace_02 Potential Partner Ability to Pay Analysis2 2" xfId="1591"/>
    <cellStyle name="_CurrencySpace_02 Quick Model_PQ Corporation" xfId="257"/>
    <cellStyle name="_CurrencySpace_04 Financials" xfId="258"/>
    <cellStyle name="_CurrencySpace_04 Financials 2" xfId="1592"/>
    <cellStyle name="_CurrencySpace_04 Financials_BCE Model 1-8-07" xfId="259"/>
    <cellStyle name="_CurrencySpace_04 Financials_BCE Model 1-8-07 2" xfId="1593"/>
    <cellStyle name="_CurrencySpace_101306 CanWest Excel BAck up v14" xfId="260"/>
    <cellStyle name="_CurrencySpace_12 Merger Plans" xfId="261"/>
    <cellStyle name="_CurrencySpace_12 Merger Plans 2" xfId="1594"/>
    <cellStyle name="_CurrencySpace_20020326Viper Numbers sent out" xfId="262"/>
    <cellStyle name="_CurrencySpace_20020403 Regional Data 04" xfId="263"/>
    <cellStyle name="_CurrencySpace_20020403 Regional Data 04 Final" xfId="264"/>
    <cellStyle name="_CurrencySpace_20020403 Template for Exchange - Regional Data 01" xfId="265"/>
    <cellStyle name="_CurrencySpace_20020404 Capex 02 All" xfId="266"/>
    <cellStyle name="_CurrencySpace_20020404 Capex 02 All 2" xfId="1595"/>
    <cellStyle name="_CurrencySpace_20020405 Final Company Model" xfId="267"/>
    <cellStyle name="_CurrencySpace_accretion dilution analysis" xfId="268"/>
    <cellStyle name="_CurrencySpace_accretion dilution analysis 2" xfId="1596"/>
    <cellStyle name="_CurrencySpace_Acquisition Ops 3" xfId="269"/>
    <cellStyle name="_CurrencySpace_Acquisition Ops 3 2" xfId="1597"/>
    <cellStyle name="_CurrencySpace_April 2002 combined model - key factors only" xfId="270"/>
    <cellStyle name="_CurrencySpace_April 2002 combined model - key factors only (rec 5 apr)" xfId="271"/>
    <cellStyle name="_CurrencySpace_AVP" xfId="272"/>
    <cellStyle name="_CurrencySpace_AVP 2" xfId="1598"/>
    <cellStyle name="_CurrencySpace_avp_Palm Model 10_05" xfId="273"/>
    <cellStyle name="_CurrencySpace_BCE Model 1-8-07" xfId="274"/>
    <cellStyle name="_CurrencySpace_Book1" xfId="275"/>
    <cellStyle name="_CurrencySpace_Book1_Merger Plan 2-10-04 GSIBDv3" xfId="276"/>
    <cellStyle name="_CurrencySpace_Book1_Merger Plan 2-10-04 GSIBDv3 2" xfId="1599"/>
    <cellStyle name="_CurrencySpace_Book2" xfId="277"/>
    <cellStyle name="_CurrencySpace_Book2 2" xfId="1600"/>
    <cellStyle name="_CurrencySpace_buyer_analysis" xfId="278"/>
    <cellStyle name="_CurrencySpace_buyer_analysis 2" xfId="1601"/>
    <cellStyle name="_CurrencySpace_Check of Synergy DCFs 11-01-04_v5" xfId="279"/>
    <cellStyle name="_CurrencySpace_CKFR Model 11-30-06" xfId="280"/>
    <cellStyle name="_CurrencySpace_CKFR Model 11-30-06 2" xfId="1602"/>
    <cellStyle name="_CurrencySpace_com_ic_universe_6" xfId="281"/>
    <cellStyle name="_CurrencySpace_Comparative Balance Sheets" xfId="282"/>
    <cellStyle name="_CurrencySpace_Comparative Balance Sheets 2" xfId="1603"/>
    <cellStyle name="_CurrencySpace_CSC Update_Status of Companies_11_19" xfId="283"/>
    <cellStyle name="_CurrencySpace_CSC with WACC" xfId="284"/>
    <cellStyle name="_CurrencySpace_CSC_Palm_Sum_of_Parts_4_20_01" xfId="285"/>
    <cellStyle name="_CurrencySpace_CSC_Palm_Sum_of_Parts_4_20_01 2" xfId="1604"/>
    <cellStyle name="_CurrencySpace_CSC_Palm_Sum_of_Parts_5_23_01a" xfId="286"/>
    <cellStyle name="_CurrencySpace_CSC_Palm_Sum_of_Parts_5_23_01a 2" xfId="1605"/>
    <cellStyle name="_CurrencySpace_Dave Model Final v 1" xfId="287"/>
    <cellStyle name="_CurrencySpace_Dave Model Final v 1 2" xfId="1606"/>
    <cellStyle name="_CurrencySpace_DCF Analysis" xfId="288"/>
    <cellStyle name="_CurrencySpace_DCF Analysis 2" xfId="1607"/>
    <cellStyle name="_CurrencySpace_DIS Go Private Analysis v23" xfId="289"/>
    <cellStyle name="_CurrencySpace_Eagle Ridge Cash Flow 01-10-02_GS" xfId="290"/>
    <cellStyle name="_CurrencySpace_Eagle Ridge Cash Flow 01-10-02_GS 2" xfId="1608"/>
    <cellStyle name="_CurrencySpace_Excel Inserts_v4" xfId="291"/>
    <cellStyle name="_CurrencySpace_Final Canadian Bank Comp (sent to IBD)FORM" xfId="292"/>
    <cellStyle name="_CurrencySpace_Final Canadian Bank Comp (sent to IBD)FORM 2" xfId="1609"/>
    <cellStyle name="_CurrencySpace_Football Field" xfId="293"/>
    <cellStyle name="_CurrencySpace_IBES_EPS_Estimates" xfId="294"/>
    <cellStyle name="_CurrencySpace_IBES_EPS_Estimates 2" xfId="1610"/>
    <cellStyle name="_CurrencySpace_Master_Telecom_Equipment_CSCb" xfId="295"/>
    <cellStyle name="_CurrencySpace_Merger Model - Exec" xfId="296"/>
    <cellStyle name="_CurrencySpace_merger plans" xfId="297"/>
    <cellStyle name="_CurrencySpace_monet2.4" xfId="298"/>
    <cellStyle name="_CurrencySpace_monet2.4 2" xfId="1611"/>
    <cellStyle name="_CurrencySpace_monet2.4_temp" xfId="299"/>
    <cellStyle name="_CurrencySpace_monet2.4_temp 2" xfId="1612"/>
    <cellStyle name="_CurrencySpace_monet2.8" xfId="300"/>
    <cellStyle name="_CurrencySpace_monet2.8 2" xfId="1613"/>
    <cellStyle name="_CurrencySpace_MotLion Projections may" xfId="301"/>
    <cellStyle name="_CurrencySpace_Old Life CSC" xfId="302"/>
    <cellStyle name="_CurrencySpace_pace_merger plans" xfId="303"/>
    <cellStyle name="_CurrencySpace_Palm Model 10_05" xfId="304"/>
    <cellStyle name="_CurrencySpace_pdf file" xfId="305"/>
    <cellStyle name="_CurrencySpace_PNC_PF_2Q_update" xfId="306"/>
    <cellStyle name="_CurrencySpace_PNC_PF_2Q_update 2" xfId="1614"/>
    <cellStyle name="_CurrencySpace_Potential Strategic Partners" xfId="307"/>
    <cellStyle name="_CurrencySpace_Potential Strategic Partners 2" xfId="1615"/>
    <cellStyle name="_CurrencySpace_QVC LBO Model 2-12-03 v3" xfId="308"/>
    <cellStyle name="_CurrencySpace_RJB Long LBO LTM" xfId="309"/>
    <cellStyle name="_CurrencySpace_RJB Long LBO LTM 2" xfId="1616"/>
    <cellStyle name="_CurrencySpace_Stallion Analysis_a" xfId="310"/>
    <cellStyle name="_CurrencySpace_Stallion Analysis_a 2" xfId="1617"/>
    <cellStyle name="_CurrencySpace_Summary Valuation Analysis" xfId="311"/>
    <cellStyle name="_CurrencySpace_Summary Valuation Analysis 2" xfId="1618"/>
    <cellStyle name="_CurrencySpace_Synergies" xfId="312"/>
    <cellStyle name="_CurrencySpace_Synergies 2" xfId="1619"/>
    <cellStyle name="_CurrencySpace_Troon Financials 8-1-02" xfId="313"/>
    <cellStyle name="_CurrencySpace_Troon Financials 8-1-02 2" xfId="1620"/>
    <cellStyle name="_CurrencySpace_Troon_EBITDA" xfId="314"/>
    <cellStyle name="_CurrencySpace_Troon_EBITDA 2" xfId="1621"/>
    <cellStyle name="_CurrencySpace_Valuation Overview - June 2001" xfId="315"/>
    <cellStyle name="_CurrencySpace_Valuation Overview - June 2001 2" xfId="1622"/>
    <cellStyle name="_CurrencySpace_Valuation_Troon dpak 8-5-02 v3" xfId="316"/>
    <cellStyle name="_date" xfId="317"/>
    <cellStyle name="_Dave Model Final v 1" xfId="318"/>
    <cellStyle name="_Dave Model Final v 1 2" xfId="1623"/>
    <cellStyle name="_DIS Go Private Analysis v23" xfId="319"/>
    <cellStyle name="_DIS Go Private Analysis v23 2" xfId="1624"/>
    <cellStyle name="_Dollar" xfId="320"/>
    <cellStyle name="_Dollar 2" xfId="1625"/>
    <cellStyle name="_Euro" xfId="321"/>
    <cellStyle name="_Euro 2" xfId="1626"/>
    <cellStyle name="_Euro_accretion dilution analysis" xfId="322"/>
    <cellStyle name="_Euro_accretion dilution analysis 2" xfId="1627"/>
    <cellStyle name="_Euro_CSC_Palm_Sum_of_Parts_5_23_01a" xfId="323"/>
    <cellStyle name="_Euro_CSC_Palm_Sum_of_Parts_5_23_01a 2" xfId="1628"/>
    <cellStyle name="_Euro_Financials Layout dpak 9-26-01 v1" xfId="324"/>
    <cellStyle name="_Euro_Financials Layout dpak 9-26-01 v1 2" xfId="1629"/>
    <cellStyle name="_Euro_IBES_EPS_Estimates" xfId="325"/>
    <cellStyle name="_Euro_IBES_EPS_Estimates 2" xfId="1630"/>
    <cellStyle name="_Euro_Palm Model 10_05" xfId="326"/>
    <cellStyle name="_Euro_Palm Model 10_05 2" xfId="1631"/>
    <cellStyle name="_Euro_Potential Strategic Partners" xfId="327"/>
    <cellStyle name="_Euro_Potential Strategic Partners 2" xfId="1632"/>
    <cellStyle name="_Euro_Simple Merger Plans" xfId="328"/>
    <cellStyle name="_Euro_Simple Merger Plans 2" xfId="1633"/>
    <cellStyle name="_Excel Inserts_v4" xfId="329"/>
    <cellStyle name="_Excel Inserts_v4 2" xfId="1634"/>
    <cellStyle name="_GBP" xfId="330"/>
    <cellStyle name="_GBP 2" xfId="1635"/>
    <cellStyle name="_GBP_BCE Model 1-8-07" xfId="331"/>
    <cellStyle name="_GBP_BCE Model 1-8-07 2" xfId="1636"/>
    <cellStyle name="_GBP_BCE Model 1-8-07_Bison LBO Analysis_Sponsor_02.07.07" xfId="332"/>
    <cellStyle name="_GBP_BCE Model 1-8-07_Bison LBO Analysis_Sponsor_02.07.07 2" xfId="1637"/>
    <cellStyle name="_GS Equity Research Driver Comparison" xfId="333"/>
    <cellStyle name="_GS Equity Research Driver Comparison 2" xfId="1638"/>
    <cellStyle name="_GS Model" xfId="334"/>
    <cellStyle name="_GS Model of VSTR" xfId="335"/>
    <cellStyle name="_GS Model of VSTR 2" xfId="1639"/>
    <cellStyle name="_Heading" xfId="336"/>
    <cellStyle name="_Heading 2" xfId="1640"/>
    <cellStyle name="_Heading_01 Selected Financials_Salt Business" xfId="337"/>
    <cellStyle name="_Heading_01 Selected Financials_Salt Business 2" xfId="1641"/>
    <cellStyle name="_Heading_02 Quick Model_PQ Corporation" xfId="338"/>
    <cellStyle name="_Heading_02 Quick Model_PQ Corporation 2" xfId="1642"/>
    <cellStyle name="_Heading_06 Analysis at Various Prices" xfId="339"/>
    <cellStyle name="_Heading_06 Analysis at Various Prices 2" xfId="1643"/>
    <cellStyle name="_Heading_Dave Model Final v 1" xfId="340"/>
    <cellStyle name="_Heading_Dave Model Final v 1 2" xfId="1644"/>
    <cellStyle name="_Heading_Final Canadian Bank Comp (sent to IBD)FORM" xfId="341"/>
    <cellStyle name="_Heading_Final Canadian Bank Comp (sent to IBD)FORM 2" xfId="1645"/>
    <cellStyle name="_Heading_lbo_long_model" xfId="342"/>
    <cellStyle name="_Heading_lbo_long_model 2" xfId="1646"/>
    <cellStyle name="_Heading_MAXF historical financials" xfId="343"/>
    <cellStyle name="_Heading_MAXF historical financials 2" xfId="1647"/>
    <cellStyle name="_Heading_PL Consolidated (2003)" xfId="344"/>
    <cellStyle name="_Heading_PL Consolidated (2003) 2" xfId="1648"/>
    <cellStyle name="_Heading_prestemp" xfId="345"/>
    <cellStyle name="_Heading_prestemp 2" xfId="1649"/>
    <cellStyle name="_Heading_Summary Financials 04" xfId="346"/>
    <cellStyle name="_Heading_Summary Financials 04 2" xfId="1650"/>
    <cellStyle name="_Highlight" xfId="347"/>
    <cellStyle name="_Highlight 2" xfId="1651"/>
    <cellStyle name="_Highlight_accretion dilution analysis" xfId="348"/>
    <cellStyle name="_Highlight_accretion dilution analysis 2" xfId="1652"/>
    <cellStyle name="_Highlight_Advance Summary 04" xfId="349"/>
    <cellStyle name="_Highlight_Advance Summary 04 2" xfId="1653"/>
    <cellStyle name="_Highlight_Assumptions" xfId="350"/>
    <cellStyle name="_Highlight_Assumptions 2" xfId="1654"/>
    <cellStyle name="_Highlight_CSC_Palm_Sum_of_Parts_5_23_01a" xfId="351"/>
    <cellStyle name="_Highlight_CSC_Palm_Sum_of_Parts_5_23_01a 2" xfId="1655"/>
    <cellStyle name="_Highlight_Data Dailies Strategic Plan-CT" xfId="352"/>
    <cellStyle name="_Highlight_Data Dailies Strategic Plan-CT 2" xfId="1656"/>
    <cellStyle name="_Highlight_Dave Model Final v 1" xfId="353"/>
    <cellStyle name="_Highlight_Dave Model Final v 1 2" xfId="1657"/>
    <cellStyle name="_Highlight_Expenses_V6" xfId="354"/>
    <cellStyle name="_Highlight_Expenses_V6 2" xfId="1658"/>
    <cellStyle name="_Highlight_Final-Consolidated-Dave-10" xfId="355"/>
    <cellStyle name="_Highlight_Final-Consolidated-Dave-10 2" xfId="1659"/>
    <cellStyle name="_Highlight_Financials Layout dpak 9-26-01 v1" xfId="356"/>
    <cellStyle name="_Highlight_Financials Layout dpak 9-26-01 v1 2" xfId="1660"/>
    <cellStyle name="_Highlight_GS Long Form Model3 7-23-02 TROON v34" xfId="357"/>
    <cellStyle name="_Highlight_GS Long Form Model3 7-23-02 TROON v34 2" xfId="1661"/>
    <cellStyle name="_Highlight_Historical Financials" xfId="358"/>
    <cellStyle name="_Highlight_Historical Financials 2" xfId="1662"/>
    <cellStyle name="_Highlight_IBES_EPS_Estimates" xfId="359"/>
    <cellStyle name="_Highlight_IBES_EPS_Estimates 2" xfId="1663"/>
    <cellStyle name="_Highlight_Lease Expiration Model" xfId="360"/>
    <cellStyle name="_Highlight_Lease Expiration Model 2" xfId="1664"/>
    <cellStyle name="_Highlight_ModelDrivers1" xfId="361"/>
    <cellStyle name="_Highlight_ModelDrivers1 2" xfId="1665"/>
    <cellStyle name="_Highlight_Original Masters2002 Base Case Model 2-12-03 v1" xfId="362"/>
    <cellStyle name="_Highlight_Original Masters2002 Base Case Model 2-12-03 v1 2" xfId="1666"/>
    <cellStyle name="_Highlight_Palm Model 10_05" xfId="363"/>
    <cellStyle name="_Highlight_Palm Model 10_05 2" xfId="1667"/>
    <cellStyle name="_Highlight_PFOwnership" xfId="364"/>
    <cellStyle name="_Highlight_PFOwnership 2" xfId="1668"/>
    <cellStyle name="_Highlight_Potential Strategic Partners" xfId="365"/>
    <cellStyle name="_Highlight_Potential Strategic Partners 2" xfId="1669"/>
    <cellStyle name="_Highlight_Prospective Asset Sales v42" xfId="366"/>
    <cellStyle name="_Highlight_Prospective Asset Sales v42 2" xfId="1670"/>
    <cellStyle name="_Highlight_Simple Merger Plans" xfId="367"/>
    <cellStyle name="_Highlight_Simple Merger Plans 2" xfId="1671"/>
    <cellStyle name="_Highlight_Sony TR" xfId="368"/>
    <cellStyle name="_Highlight_Sony TR 2" xfId="1672"/>
    <cellStyle name="_Highlight_Troon DCF Model 8-13-02 v1" xfId="369"/>
    <cellStyle name="_Highlight_Troon DCF Model 8-13-02 v1 2" xfId="1673"/>
    <cellStyle name="_Highlight_Updated LIBOR Curve from Marius Jungerhans 8-16-02" xfId="370"/>
    <cellStyle name="_Highlight_Updated LIBOR Curve from Marius Jungerhans 8-16-02 2" xfId="1674"/>
    <cellStyle name="_Inputs" xfId="371"/>
    <cellStyle name="_Inputs 2" xfId="1675"/>
    <cellStyle name="_Merger Plan 2-10-04 GSIBDv3" xfId="372"/>
    <cellStyle name="_Merger Plan 2-10-04 GSIBDv3 2" xfId="1676"/>
    <cellStyle name="_Month" xfId="373"/>
    <cellStyle name="_Month 2" xfId="1677"/>
    <cellStyle name="_Month_BCE Model 1-8-07" xfId="374"/>
    <cellStyle name="_Month_BCE Model 1-8-07 2" xfId="1678"/>
    <cellStyle name="_MS BCE Model" xfId="375"/>
    <cellStyle name="_MS BCE Model 2" xfId="1679"/>
    <cellStyle name="_Multiple" xfId="376"/>
    <cellStyle name="_Multiple 2" xfId="1680"/>
    <cellStyle name="_Multiple 3" xfId="2581"/>
    <cellStyle name="_Multiple_01 Fig Tech CSC 1Q03" xfId="377"/>
    <cellStyle name="_Multiple_01 Fig Tech CSC 1Q03 2" xfId="1681"/>
    <cellStyle name="_Multiple_01 Financial Model" xfId="378"/>
    <cellStyle name="_Multiple_01 Financial Model 2" xfId="1682"/>
    <cellStyle name="_Multiple_01 Selected Financials_Salt Business" xfId="379"/>
    <cellStyle name="_Multiple_01 Selected Financials_Salt Business 2" xfId="1683"/>
    <cellStyle name="_Multiple_01 Template without numbers sent out" xfId="380"/>
    <cellStyle name="_Multiple_01 Template without numbers sent out 2" xfId="1684"/>
    <cellStyle name="_Multiple_02 Potential Partner Ability to Pay Analysis2" xfId="381"/>
    <cellStyle name="_Multiple_02 Potential Partner Ability to Pay Analysis2 2" xfId="1685"/>
    <cellStyle name="_Multiple_02 Quick Model_PQ Corporation" xfId="382"/>
    <cellStyle name="_Multiple_02 Quick Model_PQ Corporation 2" xfId="1686"/>
    <cellStyle name="_Multiple_06 Analysis at Various Prices" xfId="383"/>
    <cellStyle name="_Multiple_06 Analysis at Various Prices 2" xfId="1687"/>
    <cellStyle name="_Multiple_101306 CanWest Excel BAck up v14" xfId="384"/>
    <cellStyle name="_Multiple_101306 CanWest Excel BAck up v14 2" xfId="1688"/>
    <cellStyle name="_Multiple_12 Merger Plans" xfId="385"/>
    <cellStyle name="_Multiple_12 Merger Plans 2" xfId="1689"/>
    <cellStyle name="_Multiple_20020403 Regional Data 04" xfId="386"/>
    <cellStyle name="_Multiple_20020403 Regional Data 04 2" xfId="1690"/>
    <cellStyle name="_Multiple_20020403 Regional Data 04 Final" xfId="387"/>
    <cellStyle name="_Multiple_20020403 Regional Data 04 Final 2" xfId="1691"/>
    <cellStyle name="_Multiple_20020403 Template for Exchange - Regional Data 01" xfId="388"/>
    <cellStyle name="_Multiple_20020403 Template for Exchange - Regional Data 01 2" xfId="1692"/>
    <cellStyle name="_Multiple_20020404 Capex 02 All" xfId="389"/>
    <cellStyle name="_Multiple_20020404 Capex 02 All 2" xfId="1693"/>
    <cellStyle name="_Multiple_accretion dilution analysis" xfId="390"/>
    <cellStyle name="_Multiple_accretion dilution analysis 2" xfId="1694"/>
    <cellStyle name="_Multiple_Acquisition Ops 3" xfId="391"/>
    <cellStyle name="_Multiple_Acquisition Ops 3 2" xfId="1695"/>
    <cellStyle name="_Multiple_Appliances Metrics for Leverage Finance" xfId="392"/>
    <cellStyle name="_Multiple_Appliances Metrics for Leverage Finance 2" xfId="1696"/>
    <cellStyle name="_Multiple_Asset_Management_CSC_Updated_06_26_2002" xfId="393"/>
    <cellStyle name="_Multiple_Asset_Management_CSC_Updated_06_26_2002 2" xfId="1697"/>
    <cellStyle name="_Multiple_Asset_Management_CSC_Updated_06_26_2002_BCE Model 1-8-07" xfId="394"/>
    <cellStyle name="_Multiple_Asset_Management_CSC_Updated_06_26_2002_BCE Model 1-8-07 2" xfId="1698"/>
    <cellStyle name="_Multiple_AVP" xfId="395"/>
    <cellStyle name="_Multiple_AVP - prev. 06 financials" xfId="396"/>
    <cellStyle name="_Multiple_AVP - prev. 06 financials 2" xfId="1700"/>
    <cellStyle name="_Multiple_AVP - prev. 06 financials_BCE Model 1-8-07" xfId="397"/>
    <cellStyle name="_Multiple_AVP - prev. 06 financials_BCE Model 1-8-07 2" xfId="1701"/>
    <cellStyle name="_Multiple_AVP 2" xfId="1699"/>
    <cellStyle name="_Multiple_AVP 3" xfId="2559"/>
    <cellStyle name="_Multiple_AVP 4" xfId="2565"/>
    <cellStyle name="_Multiple_AVP_BCE Model 1-8-07" xfId="398"/>
    <cellStyle name="_Multiple_AVP_BCE Model 1-8-07 2" xfId="1702"/>
    <cellStyle name="_Multiple_avp_Merger Plan 2-10-04 GSIBDv3" xfId="399"/>
    <cellStyle name="_Multiple_avp_Merger Plan 2-10-04 GSIBDv3 2" xfId="1703"/>
    <cellStyle name="_Multiple_avp_Palm Model 10_05" xfId="400"/>
    <cellStyle name="_Multiple_avp_Palm Model 10_05 2" xfId="1704"/>
    <cellStyle name="_Multiple_Bank &amp; Thrift Buyer Merger Plan(AutoPrice2000)" xfId="401"/>
    <cellStyle name="_Multiple_Bank &amp; Thrift Buyer Merger Plan(AutoPrice2000) 2" xfId="1705"/>
    <cellStyle name="_Multiple_bank_csc_Q1_2001" xfId="402"/>
    <cellStyle name="_Multiple_bank_csc_Q1_2001 2" xfId="1706"/>
    <cellStyle name="_Multiple_bank_csc_Q1_2001_BCE Model 1-8-07" xfId="403"/>
    <cellStyle name="_Multiple_bank_csc_Q1_2001_BCE Model 1-8-07 2" xfId="1707"/>
    <cellStyle name="_Multiple_bank_csc_Q2_2001" xfId="404"/>
    <cellStyle name="_Multiple_bank_csc_Q2_2001 2" xfId="1708"/>
    <cellStyle name="_Multiple_bank_csc_Q2_2001_c1" xfId="405"/>
    <cellStyle name="_Multiple_bank_csc_Q2_2001_c1 2" xfId="1709"/>
    <cellStyle name="_Multiple_BCE Model 1-8-07" xfId="406"/>
    <cellStyle name="_Multiple_BCE Model 1-8-07 2" xfId="1710"/>
    <cellStyle name="_Multiple_Book1" xfId="407"/>
    <cellStyle name="_Multiple_Book1 2" xfId="1711"/>
    <cellStyle name="_Multiple_Book1_1" xfId="408"/>
    <cellStyle name="_Multiple_Book1_1 2" xfId="1712"/>
    <cellStyle name="_Multiple_Book1_Merger Plan 2-10-04 GSIBDv3" xfId="409"/>
    <cellStyle name="_Multiple_Book1_Merger Plan 2-10-04 GSIBDv3 2" xfId="1713"/>
    <cellStyle name="_Multiple_Book1_Merger Plan 2-10-04 GSIBDv3_BCE Model 1-8-07" xfId="410"/>
    <cellStyle name="_Multiple_Book1_Merger Plan 2-10-04 GSIBDv3_BCE Model 1-8-07 2" xfId="1714"/>
    <cellStyle name="_Multiple_Book2" xfId="411"/>
    <cellStyle name="_Multiple_Book2 2" xfId="1715"/>
    <cellStyle name="_Multiple_Borders Model 11-11-03 mezz v6" xfId="412"/>
    <cellStyle name="_Multiple_Borders Model 11-11-03 mezz v6 2" xfId="1716"/>
    <cellStyle name="_Multiple_buyer_analysis" xfId="413"/>
    <cellStyle name="_Multiple_buyer_analysis 2" xfId="1717"/>
    <cellStyle name="_Multiple_Check of Synergy DCFs 11-01-04_v5" xfId="414"/>
    <cellStyle name="_Multiple_Check of Synergy DCFs 11-01-04_v5 2" xfId="1718"/>
    <cellStyle name="_Multiple_CKFR Model 11-30-06" xfId="415"/>
    <cellStyle name="_Multiple_CKFR Model 11-30-06 2" xfId="1719"/>
    <cellStyle name="_Multiple_CKFR Model 11-30-06_BCE Model 1-8-07" xfId="416"/>
    <cellStyle name="_Multiple_CKFR Model 11-30-06_BCE Model 1-8-07 2" xfId="1720"/>
    <cellStyle name="_Multiple_com_ic_universe_6" xfId="417"/>
    <cellStyle name="_Multiple_com_ic_universe_6 2" xfId="1721"/>
    <cellStyle name="_Multiple_Comparative Balance Sheets" xfId="418"/>
    <cellStyle name="_Multiple_Comparative Balance Sheets 2" xfId="1722"/>
    <cellStyle name="_Multiple_Comparative Balance Sheets_BCE Model 1-8-07" xfId="419"/>
    <cellStyle name="_Multiple_Comparative Balance Sheets_BCE Model 1-8-07 2" xfId="1723"/>
    <cellStyle name="_Multiple_Cross Dock Projections v3" xfId="420"/>
    <cellStyle name="_Multiple_Cross Dock Projections v3 2" xfId="1724"/>
    <cellStyle name="_Multiple_csc" xfId="421"/>
    <cellStyle name="_Multiple_csc 2" xfId="1725"/>
    <cellStyle name="_Multiple_CSC Update_Status of Companies_11_19" xfId="422"/>
    <cellStyle name="_Multiple_CSC Update_Status of Companies_11_19 2" xfId="1726"/>
    <cellStyle name="_Multiple_CSC with WACC" xfId="423"/>
    <cellStyle name="_Multiple_CSC with WACC 2" xfId="1727"/>
    <cellStyle name="_Multiple_csc_BCE Model 1-8-07" xfId="424"/>
    <cellStyle name="_Multiple_csc_BCE Model 1-8-07 2" xfId="1728"/>
    <cellStyle name="_Multiple_CSC_Palm_Sum_of_Parts_4_20_01" xfId="425"/>
    <cellStyle name="_Multiple_CSC_Palm_Sum_of_Parts_4_20_01 2" xfId="1729"/>
    <cellStyle name="_Multiple_CSC_Palm_Sum_of_Parts_5_23_01a" xfId="426"/>
    <cellStyle name="_Multiple_CSC_Palm_Sum_of_Parts_5_23_01a 2" xfId="1730"/>
    <cellStyle name="_Multiple_Dave Model Final v 1" xfId="427"/>
    <cellStyle name="_Multiple_Dave Model Final v 1 2" xfId="1731"/>
    <cellStyle name="_Multiple_DCF Analysis" xfId="428"/>
    <cellStyle name="_Multiple_DCF Analysis 2" xfId="1732"/>
    <cellStyle name="_Multiple_DIS Go Private Analysis v23" xfId="429"/>
    <cellStyle name="_Multiple_DIS Go Private Analysis v23 2" xfId="1733"/>
    <cellStyle name="_Multiple_discussion" xfId="430"/>
    <cellStyle name="_Multiple_discussion 2" xfId="1734"/>
    <cellStyle name="_Multiple_Eagle Ridge Cash Flow 01-10-02_GS" xfId="431"/>
    <cellStyle name="_Multiple_Eagle Ridge Cash Flow 01-10-02_GS 2" xfId="1735"/>
    <cellStyle name="_Multiple_Eutelsat and Capex Analysis" xfId="432"/>
    <cellStyle name="_Multiple_Eutelsat and Capex Analysis 2" xfId="1736"/>
    <cellStyle name="_Multiple_Excel Inserts_v4" xfId="433"/>
    <cellStyle name="_Multiple_Excel Inserts_v4 2" xfId="1737"/>
    <cellStyle name="_Multiple_Final Canadian Bank Comp (sent to IBD)FORM" xfId="434"/>
    <cellStyle name="_Multiple_Final Canadian Bank Comp (sent to IBD)FORM 2" xfId="1738"/>
    <cellStyle name="_Multiple_Financial Buildup 6-18-03 v7" xfId="435"/>
    <cellStyle name="_Multiple_Financial Buildup 6-18-03 v7 2" xfId="1739"/>
    <cellStyle name="_Multiple_Financials" xfId="436"/>
    <cellStyle name="_Multiple_Financials 2" xfId="1740"/>
    <cellStyle name="_Multiple_Financials_3" xfId="437"/>
    <cellStyle name="_Multiple_Financials_3 2" xfId="1741"/>
    <cellStyle name="_Multiple_Football Field" xfId="438"/>
    <cellStyle name="_Multiple_Football Field 2" xfId="1742"/>
    <cellStyle name="_Multiple_GS Model" xfId="439"/>
    <cellStyle name="_Multiple_GS Model 2" xfId="1743"/>
    <cellStyle name="_Multiple_IBES_EPS_Estimates" xfId="440"/>
    <cellStyle name="_Multiple_IBES_EPS_Estimates 2" xfId="1744"/>
    <cellStyle name="_Multiple_march_21_meeting" xfId="441"/>
    <cellStyle name="_Multiple_march_21_meeting 2" xfId="1745"/>
    <cellStyle name="_Multiple_Master_Telecom_Equipment_CSCb" xfId="442"/>
    <cellStyle name="_Multiple_Master_Telecom_Equipment_CSCb 2" xfId="1746"/>
    <cellStyle name="_Multiple_Merger Model - Exec" xfId="443"/>
    <cellStyle name="_Multiple_Merger Model - Exec 2" xfId="1747"/>
    <cellStyle name="_Multiple_Merger model_new" xfId="444"/>
    <cellStyle name="_Multiple_Merger model_new 2" xfId="1748"/>
    <cellStyle name="_Multiple_Merger model_new_ability to pay" xfId="445"/>
    <cellStyle name="_Multiple_Merger model_new_ability to pay 2" xfId="1749"/>
    <cellStyle name="_Multiple_Merger Plan 2-10-04 GSIBDv3" xfId="446"/>
    <cellStyle name="_Multiple_Merger Plan 2-10-04 GSIBDv3 2" xfId="1750"/>
    <cellStyle name="_Multiple_merger plans" xfId="447"/>
    <cellStyle name="_Multiple_merger plans 2" xfId="1751"/>
    <cellStyle name="_Multiple_model_bk" xfId="448"/>
    <cellStyle name="_Multiple_model_bk 2" xfId="1752"/>
    <cellStyle name="_Multiple_model_bk_BCE Model 1-8-07" xfId="449"/>
    <cellStyle name="_Multiple_model_bk_BCE Model 1-8-07 2" xfId="1753"/>
    <cellStyle name="_Multiple_monet_final_w_output" xfId="450"/>
    <cellStyle name="_Multiple_monet_final_w_output 2" xfId="1754"/>
    <cellStyle name="_Multiple_monet2.4" xfId="451"/>
    <cellStyle name="_Multiple_monet2.4 2" xfId="1755"/>
    <cellStyle name="_Multiple_monet2.4_BCE Model 1-8-07" xfId="452"/>
    <cellStyle name="_Multiple_monet2.4_BCE Model 1-8-07 2" xfId="1756"/>
    <cellStyle name="_Multiple_monet2.4_temp" xfId="453"/>
    <cellStyle name="_Multiple_monet2.4_temp 2" xfId="1757"/>
    <cellStyle name="_Multiple_monet2.4_temp_BCE Model 1-8-07" xfId="454"/>
    <cellStyle name="_Multiple_monet2.4_temp_BCE Model 1-8-07 2" xfId="1758"/>
    <cellStyle name="_Multiple_monet2.8" xfId="455"/>
    <cellStyle name="_Multiple_monet2.8 2" xfId="1759"/>
    <cellStyle name="_Multiple_monet2.8_BCE Model 1-8-07" xfId="456"/>
    <cellStyle name="_Multiple_monet2.8_BCE Model 1-8-07 2" xfId="1760"/>
    <cellStyle name="_Multiple_MotLion Projections may" xfId="457"/>
    <cellStyle name="_Multiple_MotLion Projections may 2" xfId="1761"/>
    <cellStyle name="_Multiple_Neptune Ammortization Analysis 8-6-03" xfId="458"/>
    <cellStyle name="_Multiple_Neptune Ammortization Analysis 8-6-03 2" xfId="1762"/>
    <cellStyle name="_Multiple_Old Life CSC" xfId="459"/>
    <cellStyle name="_Multiple_Old Life CSC 2" xfId="1763"/>
    <cellStyle name="_Multiple_Other Category Breaidown 7-26-03 v1" xfId="460"/>
    <cellStyle name="_Multiple_Other Category Breaidown 7-26-03 v1 2" xfId="1764"/>
    <cellStyle name="_Multiple_pace_merger plans" xfId="461"/>
    <cellStyle name="_Multiple_pace_merger plans 2" xfId="1765"/>
    <cellStyle name="_Multiple_Palm Model 10_05" xfId="462"/>
    <cellStyle name="_Multiple_Palm Model 10_05 2" xfId="1766"/>
    <cellStyle name="_Multiple_pdf file" xfId="463"/>
    <cellStyle name="_Multiple_pdf file 2" xfId="1767"/>
    <cellStyle name="_Multiple_PNC_PF_2Q_update" xfId="464"/>
    <cellStyle name="_Multiple_PNC_PF_2Q_update 2" xfId="1768"/>
    <cellStyle name="_Multiple_Potential Strategic Partners" xfId="465"/>
    <cellStyle name="_Multiple_Potential Strategic Partners 2" xfId="1769"/>
    <cellStyle name="_Multiple_Projections--Management (Data Room)v6" xfId="466"/>
    <cellStyle name="_Multiple_Projections--Management (Data Room)v6 2" xfId="1770"/>
    <cellStyle name="_Multiple_QVC LBO Model 2-12-03 v3" xfId="467"/>
    <cellStyle name="_Multiple_QVC LBO Model 2-12-03 v3 2" xfId="1771"/>
    <cellStyle name="_Multiple_RJB Long LBO LTM" xfId="468"/>
    <cellStyle name="_Multiple_RJB Long LBO LTM 2" xfId="1772"/>
    <cellStyle name="_Multiple_Sources and Uses FINAL dpakedit v2" xfId="469"/>
    <cellStyle name="_Multiple_Sources and Uses FINAL dpakedit v2 2" xfId="1773"/>
    <cellStyle name="_Multiple_Summary Valuation Analysis" xfId="470"/>
    <cellStyle name="_Multiple_Summary Valuation Analysis 2" xfId="1774"/>
    <cellStyle name="_Multiple_Synergies" xfId="471"/>
    <cellStyle name="_Multiple_Synergies 2" xfId="1775"/>
    <cellStyle name="_Multiple_Troon DCF Model 8-13-02 v1" xfId="472"/>
    <cellStyle name="_Multiple_Troon DCF Model 8-13-02 v1 2" xfId="1776"/>
    <cellStyle name="_Multiple_Troon DCF Model 8-13-02 v1_BCE Model 1-8-07" xfId="473"/>
    <cellStyle name="_Multiple_Troon DCF Model 8-13-02 v1_BCE Model 1-8-07 2" xfId="1777"/>
    <cellStyle name="_Multiple_Troon Financials 8-1-02" xfId="474"/>
    <cellStyle name="_Multiple_Troon Financials 8-1-02 2" xfId="1778"/>
    <cellStyle name="_Multiple_Troon LLC FS dpakedit 8-7-02" xfId="475"/>
    <cellStyle name="_Multiple_Troon LLC FS dpakedit 8-7-02 2" xfId="1779"/>
    <cellStyle name="_Multiple_Troon LLC FS dpakedit 8-7-02 v3" xfId="476"/>
    <cellStyle name="_Multiple_Troon LLC FS dpakedit 8-7-02 v3 2" xfId="1780"/>
    <cellStyle name="_Multiple_Troon LLC FS dpakedit 8-7-02 v4" xfId="477"/>
    <cellStyle name="_Multiple_Troon LLC FS dpakedit 8-7-02 v4 2" xfId="1781"/>
    <cellStyle name="_Multiple_Troon_EBITDA" xfId="478"/>
    <cellStyle name="_Multiple_Troon_EBITDA 2" xfId="1782"/>
    <cellStyle name="_Multiple_Valuation Overview - June 2001" xfId="479"/>
    <cellStyle name="_Multiple_Valuation Overview - June 2001 2" xfId="1783"/>
    <cellStyle name="_Multiple_Valuation Overview - June 2001_BCE Model 1-8-07" xfId="480"/>
    <cellStyle name="_Multiple_Valuation Overview - June 2001_BCE Model 1-8-07 2" xfId="1784"/>
    <cellStyle name="_Multiple_Valuation_Troon dpak 8-5-02 v3" xfId="481"/>
    <cellStyle name="_Multiple_Valuation_Troon dpak 8-5-02 v3 2" xfId="1785"/>
    <cellStyle name="_MultipleSpace" xfId="482"/>
    <cellStyle name="_MultipleSpace 2" xfId="1786"/>
    <cellStyle name="_MultipleSpace_01 Fig Tech CSC 1Q03" xfId="483"/>
    <cellStyle name="_MultipleSpace_01 Fig Tech CSC 1Q03 2" xfId="1787"/>
    <cellStyle name="_MultipleSpace_01 Financial Model" xfId="484"/>
    <cellStyle name="_MultipleSpace_01 Financial Model 2" xfId="1788"/>
    <cellStyle name="_MultipleSpace_01 Template without numbers sent out" xfId="485"/>
    <cellStyle name="_MultipleSpace_01 Template without numbers sent out 2" xfId="1789"/>
    <cellStyle name="_MultipleSpace_02 Potential Partner Ability to Pay Analysis2" xfId="486"/>
    <cellStyle name="_MultipleSpace_02 Potential Partner Ability to Pay Analysis2 2" xfId="1790"/>
    <cellStyle name="_MultipleSpace_02 Quick Model_PQ Corporation" xfId="487"/>
    <cellStyle name="_MultipleSpace_02 Quick Model_PQ Corporation 2" xfId="1791"/>
    <cellStyle name="_MultipleSpace_101306 CanWest Excel BAck up v14" xfId="488"/>
    <cellStyle name="_MultipleSpace_101306 CanWest Excel BAck up v14 2" xfId="1792"/>
    <cellStyle name="_MultipleSpace_12 Merger Plans" xfId="489"/>
    <cellStyle name="_MultipleSpace_12 Merger Plans 2" xfId="1793"/>
    <cellStyle name="_MultipleSpace_20020403 Regional Data 04" xfId="490"/>
    <cellStyle name="_MultipleSpace_20020403 Regional Data 04 2" xfId="1794"/>
    <cellStyle name="_MultipleSpace_20020403 Regional Data 04 Final" xfId="491"/>
    <cellStyle name="_MultipleSpace_20020403 Regional Data 04 Final 2" xfId="1795"/>
    <cellStyle name="_MultipleSpace_20020403 Template for Exchange - Regional Data 01" xfId="492"/>
    <cellStyle name="_MultipleSpace_20020403 Template for Exchange - Regional Data 01 2" xfId="1796"/>
    <cellStyle name="_MultipleSpace_20020404 Capex 02 All" xfId="493"/>
    <cellStyle name="_MultipleSpace_20020404 Capex 02 All 2" xfId="1797"/>
    <cellStyle name="_MultipleSpace_accretion dilution analysis" xfId="494"/>
    <cellStyle name="_MultipleSpace_accretion dilution analysis 2" xfId="1798"/>
    <cellStyle name="_MultipleSpace_Acquisition Ops 3" xfId="495"/>
    <cellStyle name="_MultipleSpace_Acquisition Ops 3 2" xfId="1799"/>
    <cellStyle name="_MultipleSpace_Alamosa Merger" xfId="496"/>
    <cellStyle name="_MultipleSpace_Alamosa Merger 2" xfId="1800"/>
    <cellStyle name="_MultipleSpace_Alamosa Standalone8b" xfId="497"/>
    <cellStyle name="_MultipleSpace_Alamosa Standalone8b 2" xfId="1801"/>
    <cellStyle name="_MultipleSpace_AVP" xfId="498"/>
    <cellStyle name="_MultipleSpace_AVP - prev. 06 financials" xfId="499"/>
    <cellStyle name="_MultipleSpace_AVP - prev. 06 financials 2" xfId="1803"/>
    <cellStyle name="_MultipleSpace_AVP - prev. 06 financials_BCE Model 1-8-07" xfId="500"/>
    <cellStyle name="_MultipleSpace_AVP - prev. 06 financials_BCE Model 1-8-07 2" xfId="1804"/>
    <cellStyle name="_MultipleSpace_AVP 2" xfId="1802"/>
    <cellStyle name="_MultipleSpace_AVP 3" xfId="2562"/>
    <cellStyle name="_MultipleSpace_AVP 4" xfId="2563"/>
    <cellStyle name="_MultipleSpace_AVP_BCE Model 1-8-07" xfId="501"/>
    <cellStyle name="_MultipleSpace_AVP_BCE Model 1-8-07 2" xfId="1805"/>
    <cellStyle name="_MultipleSpace_avp_Merger Plan 2-10-04 GSIBDv3" xfId="502"/>
    <cellStyle name="_MultipleSpace_avp_Merger Plan 2-10-04 GSIBDv3 2" xfId="1806"/>
    <cellStyle name="_MultipleSpace_avp_Palm Model 10_05" xfId="503"/>
    <cellStyle name="_MultipleSpace_avp_Palm Model 10_05 2" xfId="1807"/>
    <cellStyle name="_MultipleSpace_bank_csc_Q1_2001" xfId="504"/>
    <cellStyle name="_MultipleSpace_bank_csc_Q1_2001 2" xfId="1808"/>
    <cellStyle name="_MultipleSpace_bank_csc_Q1_2001_BCE Model 1-8-07" xfId="505"/>
    <cellStyle name="_MultipleSpace_bank_csc_Q1_2001_BCE Model 1-8-07 2" xfId="1809"/>
    <cellStyle name="_MultipleSpace_bank_csc_Q2_2001_c1" xfId="506"/>
    <cellStyle name="_MultipleSpace_bank_csc_Q2_2001_c1 2" xfId="1810"/>
    <cellStyle name="_MultipleSpace_bank_csc_Q2_2001_c1_BCE Model 1-8-07" xfId="507"/>
    <cellStyle name="_MultipleSpace_bank_csc_Q2_2001_c1_BCE Model 1-8-07 2" xfId="1811"/>
    <cellStyle name="_MultipleSpace_BCE Model 1-8-07" xfId="508"/>
    <cellStyle name="_MultipleSpace_BCE Model 1-8-07 2" xfId="1812"/>
    <cellStyle name="_MultipleSpace_Book1" xfId="509"/>
    <cellStyle name="_MultipleSpace_Book1 2" xfId="1813"/>
    <cellStyle name="_MultipleSpace_Book1_Merger Plan 2-10-04 GSIBDv3" xfId="510"/>
    <cellStyle name="_MultipleSpace_Book1_Merger Plan 2-10-04 GSIBDv3 2" xfId="1814"/>
    <cellStyle name="_MultipleSpace_Book1_Merger Plan 2-10-04 GSIBDv3_BCE Model 1-8-07" xfId="511"/>
    <cellStyle name="_MultipleSpace_Book1_Merger Plan 2-10-04 GSIBDv3_BCE Model 1-8-07 2" xfId="1815"/>
    <cellStyle name="_MultipleSpace_Book2" xfId="512"/>
    <cellStyle name="_MultipleSpace_Book2 2" xfId="1816"/>
    <cellStyle name="_MultipleSpace_buyer_analysis" xfId="513"/>
    <cellStyle name="_MultipleSpace_buyer_analysis 2" xfId="1817"/>
    <cellStyle name="_MultipleSpace_Check of Synergy DCFs 11-01-04_v5" xfId="514"/>
    <cellStyle name="_MultipleSpace_Check of Synergy DCFs 11-01-04_v5 2" xfId="1818"/>
    <cellStyle name="_MultipleSpace_CKFR Model 11-30-06" xfId="515"/>
    <cellStyle name="_MultipleSpace_CKFR Model 11-30-06 2" xfId="1819"/>
    <cellStyle name="_MultipleSpace_com_ic_universe_6" xfId="516"/>
    <cellStyle name="_MultipleSpace_com_ic_universe_6 2" xfId="1820"/>
    <cellStyle name="_MultipleSpace_COMBO Final DCF_2" xfId="517"/>
    <cellStyle name="_MultipleSpace_COMBO Final DCF_2 2" xfId="1821"/>
    <cellStyle name="_MultipleSpace_Comparative Balance Sheets" xfId="518"/>
    <cellStyle name="_MultipleSpace_Comparative Balance Sheets 2" xfId="1822"/>
    <cellStyle name="_MultipleSpace_Comparative Balance Sheets_BCE Model 1-8-07" xfId="519"/>
    <cellStyle name="_MultipleSpace_Comparative Balance Sheets_BCE Model 1-8-07 2" xfId="1823"/>
    <cellStyle name="_MultipleSpace_csc" xfId="520"/>
    <cellStyle name="_MultipleSpace_csc 2" xfId="1824"/>
    <cellStyle name="_MultipleSpace_CSC Update_Status of Companies_11_19" xfId="521"/>
    <cellStyle name="_MultipleSpace_CSC Update_Status of Companies_11_19 2" xfId="1825"/>
    <cellStyle name="_MultipleSpace_CSC with WACC" xfId="522"/>
    <cellStyle name="_MultipleSpace_CSC with WACC 2" xfId="1826"/>
    <cellStyle name="_MultipleSpace_csc_BCE Model 1-8-07" xfId="523"/>
    <cellStyle name="_MultipleSpace_csc_BCE Model 1-8-07 2" xfId="1827"/>
    <cellStyle name="_MultipleSpace_CSC_Palm_Sum_of_Parts_4_20_01" xfId="524"/>
    <cellStyle name="_MultipleSpace_CSC_Palm_Sum_of_Parts_4_20_01 2" xfId="1828"/>
    <cellStyle name="_MultipleSpace_CSC_Palm_Sum_of_Parts_5_23_01a" xfId="525"/>
    <cellStyle name="_MultipleSpace_CSC_Palm_Sum_of_Parts_5_23_01a 2" xfId="1829"/>
    <cellStyle name="_MultipleSpace_Dave Model Final v 1" xfId="526"/>
    <cellStyle name="_MultipleSpace_Dave Model Final v 1 2" xfId="1830"/>
    <cellStyle name="_MultipleSpace_DCF Analysis" xfId="527"/>
    <cellStyle name="_MultipleSpace_DCF Analysis 2" xfId="1831"/>
    <cellStyle name="_MultipleSpace_DIS Go Private Analysis v23" xfId="528"/>
    <cellStyle name="_MultipleSpace_DIS Go Private Analysis v23 2" xfId="1832"/>
    <cellStyle name="_MultipleSpace_Eagle Ridge Cash Flow 01-10-02_GS" xfId="529"/>
    <cellStyle name="_MultipleSpace_Eagle Ridge Cash Flow 01-10-02_GS 2" xfId="1833"/>
    <cellStyle name="_MultipleSpace_Eutelsat and Capex Analysis" xfId="530"/>
    <cellStyle name="_MultipleSpace_Eutelsat and Capex Analysis 2" xfId="1834"/>
    <cellStyle name="_MultipleSpace_Excel Inserts_v4" xfId="531"/>
    <cellStyle name="_MultipleSpace_Excel Inserts_v4 2" xfId="1835"/>
    <cellStyle name="_MultipleSpace_Final Canadian Bank Comp (sent to IBD)FORM" xfId="532"/>
    <cellStyle name="_MultipleSpace_Final Canadian Bank Comp (sent to IBD)FORM 2" xfId="1836"/>
    <cellStyle name="_MultipleSpace_Football Field" xfId="533"/>
    <cellStyle name="_MultipleSpace_Football Field 2" xfId="1837"/>
    <cellStyle name="_MultipleSpace_IBES_EPS_Estimates" xfId="534"/>
    <cellStyle name="_MultipleSpace_IBES_EPS_Estimates 2" xfId="1838"/>
    <cellStyle name="_MultipleSpace_Master_Telecom_Equipment_CSCb" xfId="535"/>
    <cellStyle name="_MultipleSpace_Master_Telecom_Equipment_CSCb 2" xfId="1839"/>
    <cellStyle name="_MultipleSpace_Merger Model - Exec" xfId="536"/>
    <cellStyle name="_MultipleSpace_Merger Model - Exec 2" xfId="1840"/>
    <cellStyle name="_MultipleSpace_merger plans" xfId="537"/>
    <cellStyle name="_MultipleSpace_merger plans 2" xfId="1841"/>
    <cellStyle name="_MultipleSpace_model_bk" xfId="538"/>
    <cellStyle name="_MultipleSpace_model_bk 2" xfId="1842"/>
    <cellStyle name="_MultipleSpace_model_bk_BCE Model 1-8-07" xfId="539"/>
    <cellStyle name="_MultipleSpace_model_bk_BCE Model 1-8-07 2" xfId="1843"/>
    <cellStyle name="_MultipleSpace_monet_final_w_output" xfId="540"/>
    <cellStyle name="_MultipleSpace_monet_final_w_output 2" xfId="1844"/>
    <cellStyle name="_MultipleSpace_monet2.4" xfId="541"/>
    <cellStyle name="_MultipleSpace_monet2.4 2" xfId="1845"/>
    <cellStyle name="_MultipleSpace_monet2.4_BCE Model 1-8-07" xfId="542"/>
    <cellStyle name="_MultipleSpace_monet2.4_BCE Model 1-8-07 2" xfId="1846"/>
    <cellStyle name="_MultipleSpace_monet2.4_temp" xfId="543"/>
    <cellStyle name="_MultipleSpace_monet2.4_temp 2" xfId="1847"/>
    <cellStyle name="_MultipleSpace_monet2.4_temp_BCE Model 1-8-07" xfId="544"/>
    <cellStyle name="_MultipleSpace_monet2.4_temp_BCE Model 1-8-07 2" xfId="1848"/>
    <cellStyle name="_MultipleSpace_monet2.8" xfId="545"/>
    <cellStyle name="_MultipleSpace_monet2.8 2" xfId="1849"/>
    <cellStyle name="_MultipleSpace_monet2.8_BCE Model 1-8-07" xfId="546"/>
    <cellStyle name="_MultipleSpace_monet2.8_BCE Model 1-8-07 2" xfId="1850"/>
    <cellStyle name="_MultipleSpace_MotLion Projections may" xfId="547"/>
    <cellStyle name="_MultipleSpace_MotLion Projections may 2" xfId="1851"/>
    <cellStyle name="_MultipleSpace_Old Life CSC" xfId="548"/>
    <cellStyle name="_MultipleSpace_Old Life CSC 2" xfId="1852"/>
    <cellStyle name="_MultipleSpace_pace_merger plans" xfId="549"/>
    <cellStyle name="_MultipleSpace_pace_merger plans 2" xfId="1853"/>
    <cellStyle name="_MultipleSpace_Palm Model 10_05" xfId="550"/>
    <cellStyle name="_MultipleSpace_Palm Model 10_05 2" xfId="1854"/>
    <cellStyle name="_MultipleSpace_pdf file" xfId="551"/>
    <cellStyle name="_MultipleSpace_pdf file 2" xfId="1855"/>
    <cellStyle name="_MultipleSpace_PNC_PF_2Q_update" xfId="552"/>
    <cellStyle name="_MultipleSpace_PNC_PF_2Q_update 2" xfId="1856"/>
    <cellStyle name="_MultipleSpace_Potential Strategic Partners" xfId="553"/>
    <cellStyle name="_MultipleSpace_Potential Strategic Partners 2" xfId="1857"/>
    <cellStyle name="_MultipleSpace_QVC LBO Model 2-12-03 v3" xfId="554"/>
    <cellStyle name="_MultipleSpace_QVC LBO Model 2-12-03 v3 2" xfId="1858"/>
    <cellStyle name="_MultipleSpace_RJB Long LBO LTM" xfId="555"/>
    <cellStyle name="_MultipleSpace_RJB Long LBO LTM 2" xfId="1859"/>
    <cellStyle name="_MultipleSpace_Summary Valuation Analysis" xfId="556"/>
    <cellStyle name="_MultipleSpace_Summary Valuation Analysis 2" xfId="1860"/>
    <cellStyle name="_MultipleSpace_Synergies" xfId="557"/>
    <cellStyle name="_MultipleSpace_Synergies 2" xfId="1861"/>
    <cellStyle name="_MultipleSpace_Troon DCF Model 8-13-02 v1" xfId="558"/>
    <cellStyle name="_MultipleSpace_Troon DCF Model 8-13-02 v1 2" xfId="1862"/>
    <cellStyle name="_MultipleSpace_Troon DCF Model 8-13-02 v1_BCE Model 1-8-07" xfId="559"/>
    <cellStyle name="_MultipleSpace_Troon DCF Model 8-13-02 v1_BCE Model 1-8-07 2" xfId="1863"/>
    <cellStyle name="_MultipleSpace_Troon Financials 8-1-02" xfId="560"/>
    <cellStyle name="_MultipleSpace_Troon Financials 8-1-02 2" xfId="1864"/>
    <cellStyle name="_MultipleSpace_Troon LLC FS dpakedit 8-7-02" xfId="561"/>
    <cellStyle name="_MultipleSpace_Troon LLC FS dpakedit 8-7-02 2" xfId="1865"/>
    <cellStyle name="_MultipleSpace_Troon LLC FS dpakedit 8-7-02 v3" xfId="562"/>
    <cellStyle name="_MultipleSpace_Troon LLC FS dpakedit 8-7-02 v3 2" xfId="1866"/>
    <cellStyle name="_MultipleSpace_Troon LLC FS dpakedit 8-7-02 v4" xfId="563"/>
    <cellStyle name="_MultipleSpace_Troon LLC FS dpakedit 8-7-02 v4 2" xfId="1867"/>
    <cellStyle name="_MultipleSpace_Troon_EBITDA" xfId="564"/>
    <cellStyle name="_MultipleSpace_Troon_EBITDA 2" xfId="1868"/>
    <cellStyle name="_MultipleSpace_Valuation Overview - June 2001" xfId="565"/>
    <cellStyle name="_MultipleSpace_Valuation Overview - June 2001 2" xfId="1869"/>
    <cellStyle name="_MultipleSpace_Valuation Overview - June 2001_BCE Model 1-8-07" xfId="566"/>
    <cellStyle name="_MultipleSpace_Valuation Overview - June 2001_BCE Model 1-8-07 2" xfId="1870"/>
    <cellStyle name="_MultipleSpace_Valuation_Troon dpak 8-5-02 v3" xfId="567"/>
    <cellStyle name="_MultipleSpace_Valuation_Troon dpak 8-5-02 v3 2" xfId="1871"/>
    <cellStyle name="_Output" xfId="568"/>
    <cellStyle name="_Output 2" xfId="1872"/>
    <cellStyle name="_Percent" xfId="569"/>
    <cellStyle name="_Percent 2" xfId="1873"/>
    <cellStyle name="_Percent_101306 CanWest Excel BAck up v14" xfId="570"/>
    <cellStyle name="_Percent_101306 CanWest Excel BAck up v14 2" xfId="1874"/>
    <cellStyle name="_Percent_Acquisition Ops 3" xfId="571"/>
    <cellStyle name="_Percent_Acquisition Ops 3 2" xfId="1875"/>
    <cellStyle name="_Percent_Alamosa Merger" xfId="572"/>
    <cellStyle name="_Percent_Alamosa Merger 2" xfId="1876"/>
    <cellStyle name="_Percent_Alamosa Standalone8b" xfId="573"/>
    <cellStyle name="_Percent_Alamosa Standalone8b 2" xfId="1877"/>
    <cellStyle name="_Percent_AVP" xfId="574"/>
    <cellStyle name="_Percent_AVP 2" xfId="1878"/>
    <cellStyle name="_Percent_Book1" xfId="575"/>
    <cellStyle name="_Percent_Book1 2" xfId="1879"/>
    <cellStyle name="_Percent_COMBO Final DCF_2" xfId="576"/>
    <cellStyle name="_Percent_COMBO Final DCF_2 2" xfId="1880"/>
    <cellStyle name="_Percent_Comparative Balance Sheets" xfId="577"/>
    <cellStyle name="_Percent_Comparative Balance Sheets 2" xfId="1881"/>
    <cellStyle name="_Percent_CSC with WACC" xfId="578"/>
    <cellStyle name="_Percent_CSC with WACC 2" xfId="1882"/>
    <cellStyle name="_Percent_Eutelsat and Capex Analysis" xfId="579"/>
    <cellStyle name="_Percent_Eutelsat and Capex Analysis 2" xfId="1883"/>
    <cellStyle name="_Percent_Master_Telecom_Equipment_CSCb" xfId="580"/>
    <cellStyle name="_Percent_Master_Telecom_Equipment_CSCb 2" xfId="1884"/>
    <cellStyle name="_Percent_Merger Model - Exec" xfId="581"/>
    <cellStyle name="_Percent_Merger Model - Exec 2" xfId="1885"/>
    <cellStyle name="_Percent_merger plans" xfId="582"/>
    <cellStyle name="_Percent_merger plans 2" xfId="1886"/>
    <cellStyle name="_Percent_monet2.4" xfId="583"/>
    <cellStyle name="_Percent_monet2.4 2" xfId="1887"/>
    <cellStyle name="_Percent_monet2.4_temp" xfId="584"/>
    <cellStyle name="_Percent_monet2.4_temp 2" xfId="1888"/>
    <cellStyle name="_Percent_monet2.8" xfId="585"/>
    <cellStyle name="_Percent_monet2.8 2" xfId="1889"/>
    <cellStyle name="_Percent_MotLion Projections may" xfId="586"/>
    <cellStyle name="_Percent_MotLion Projections may 2" xfId="1890"/>
    <cellStyle name="_Percent_pace_merger plans" xfId="587"/>
    <cellStyle name="_Percent_pace_merger plans 2" xfId="1891"/>
    <cellStyle name="_Percent_Palm Model 10_05" xfId="588"/>
    <cellStyle name="_Percent_Palm Model 10_05 2" xfId="1892"/>
    <cellStyle name="_Percent_pdf file" xfId="589"/>
    <cellStyle name="_Percent_pdf file 2" xfId="1893"/>
    <cellStyle name="_Percent_Sources and Uses FINAL dpakedit v2" xfId="590"/>
    <cellStyle name="_Percent_Sources and Uses FINAL dpakedit v2 2" xfId="1894"/>
    <cellStyle name="_Percent_Valuation Overview - June 2001" xfId="591"/>
    <cellStyle name="_Percent_Valuation Overview - June 2001 2" xfId="1895"/>
    <cellStyle name="_Percent_Valuation_Troon dpak 8-5-02 v3" xfId="592"/>
    <cellStyle name="_Percent_Valuation_Troon dpak 8-5-02 v3 2" xfId="1896"/>
    <cellStyle name="_PercentReal" xfId="593"/>
    <cellStyle name="_PercentReal 2" xfId="1897"/>
    <cellStyle name="_PercentReal_BCE Model 1-8-07" xfId="594"/>
    <cellStyle name="_PercentReal_BCE Model 1-8-07 2" xfId="1898"/>
    <cellStyle name="_PercentReal_bs_avp" xfId="595"/>
    <cellStyle name="_PercentReal_bs_avp 2" xfId="1899"/>
    <cellStyle name="_PercentReal_bs_avp_BCE Model 1-8-07" xfId="596"/>
    <cellStyle name="_PercentReal_bs_avp_BCE Model 1-8-07 2" xfId="1900"/>
    <cellStyle name="_percentReal_monet_final_w_output" xfId="597"/>
    <cellStyle name="_percentReal_monet_final_w_output 2" xfId="1901"/>
    <cellStyle name="_percentReal_monet_final_w_output_BCE Model 1-8-07" xfId="598"/>
    <cellStyle name="_percentReal_monet_final_w_output_BCE Model 1-8-07 2" xfId="1902"/>
    <cellStyle name="_PercentSpace" xfId="599"/>
    <cellStyle name="_PercentSpace 2" xfId="1903"/>
    <cellStyle name="_PercentSpace_101306 CanWest Excel BAck up v14" xfId="600"/>
    <cellStyle name="_PercentSpace_101306 CanWest Excel BAck up v14 2" xfId="1904"/>
    <cellStyle name="_PercentSpace_101306 CanWest Excel BAck up v14_BCE LBO Analysis (02_4_07) MASTER V6" xfId="601"/>
    <cellStyle name="_PercentSpace_101306 CanWest Excel BAck up v14_BCE LBO Analysis (02_4_07) MASTER V6 2" xfId="1905"/>
    <cellStyle name="_PercentSpace_Acquisition Ops 3" xfId="602"/>
    <cellStyle name="_PercentSpace_Alamosa Merger" xfId="603"/>
    <cellStyle name="_PercentSpace_Alamosa Merger 2" xfId="1906"/>
    <cellStyle name="_PercentSpace_Alamosa Merger_BCE LBO Analysis (02_4_07) MASTER V6" xfId="604"/>
    <cellStyle name="_PercentSpace_Alamosa Merger_BCE LBO Analysis (02_4_07) MASTER V6 2" xfId="1907"/>
    <cellStyle name="_PercentSpace_Alamosa Standalone8b" xfId="605"/>
    <cellStyle name="_PercentSpace_Alamosa Standalone8b 2" xfId="1908"/>
    <cellStyle name="_PercentSpace_Alamosa Standalone8b_BCE LBO Analysis (02_4_07) MASTER V6" xfId="606"/>
    <cellStyle name="_PercentSpace_Alamosa Standalone8b_BCE LBO Analysis (02_4_07) MASTER V6 2" xfId="1909"/>
    <cellStyle name="_PercentSpace_AVP" xfId="607"/>
    <cellStyle name="_PercentSpace_Book1" xfId="608"/>
    <cellStyle name="_PercentSpace_Book1 2" xfId="1910"/>
    <cellStyle name="_PercentSpace_Book1_Merger Plan 2-10-04 GSIBDv3" xfId="609"/>
    <cellStyle name="_PercentSpace_COMBO Final DCF_2" xfId="610"/>
    <cellStyle name="_PercentSpace_COMBO Final DCF_2 2" xfId="1911"/>
    <cellStyle name="_PercentSpace_Comparative Balance Sheets" xfId="611"/>
    <cellStyle name="_PercentSpace_CSC with WACC" xfId="612"/>
    <cellStyle name="_PercentSpace_CSC with WACC 2" xfId="1912"/>
    <cellStyle name="_PercentSpace_Eutelsat and Capex Analysis" xfId="613"/>
    <cellStyle name="_PercentSpace_Eutelsat and Capex Analysis 2" xfId="1913"/>
    <cellStyle name="_PercentSpace_Master_Telecom_Equipment_CSCb" xfId="614"/>
    <cellStyle name="_PercentSpace_Master_Telecom_Equipment_CSCb 2" xfId="1914"/>
    <cellStyle name="_PercentSpace_Merger Model - Exec" xfId="615"/>
    <cellStyle name="_PercentSpace_Merger Model - Exec 2" xfId="1915"/>
    <cellStyle name="_PercentSpace_merger plans" xfId="616"/>
    <cellStyle name="_PercentSpace_merger plans 2" xfId="1916"/>
    <cellStyle name="_PercentSpace_monet2.4" xfId="617"/>
    <cellStyle name="_PercentSpace_monet2.4_temp" xfId="618"/>
    <cellStyle name="_PercentSpace_monet2.8" xfId="619"/>
    <cellStyle name="_PercentSpace_MotLion Projections may" xfId="620"/>
    <cellStyle name="_PercentSpace_MotLion Projections may 2" xfId="1917"/>
    <cellStyle name="_PercentSpace_pace_merger plans" xfId="621"/>
    <cellStyle name="_PercentSpace_pace_merger plans 2" xfId="1918"/>
    <cellStyle name="_PercentSpace_Palm Model 10_05" xfId="622"/>
    <cellStyle name="_PercentSpace_Palm Model 10_05 2" xfId="1919"/>
    <cellStyle name="_PercentSpace_pdf file" xfId="623"/>
    <cellStyle name="_PercentSpace_pdf file 2" xfId="1920"/>
    <cellStyle name="_PercentSpace_Projections--Management (Data Room)v6" xfId="624"/>
    <cellStyle name="_PercentSpace_RJB Long LBO LTM" xfId="625"/>
    <cellStyle name="_PercentSpace_Sources and Uses FINAL dpakedit v2" xfId="626"/>
    <cellStyle name="_PercentSpace_Valuation Overview - June 2001" xfId="627"/>
    <cellStyle name="_PercentSpace_Valuation_Troon dpak 8-5-02 v3" xfId="628"/>
    <cellStyle name="_PercentSpace_Valuation_Troon dpak 8-5-02 v3 2" xfId="1922"/>
    <cellStyle name="_Preliminary LBO model 012305" xfId="629"/>
    <cellStyle name="_Preliminary LBO model 012305 2" xfId="1923"/>
    <cellStyle name="_Sources and Uses FINAL dpakedit v2" xfId="630"/>
    <cellStyle name="_Sources and Uses FINAL dpakedit v2 2" xfId="1924"/>
    <cellStyle name="_SubHeading" xfId="631"/>
    <cellStyle name="_SubHeading 2" xfId="1925"/>
    <cellStyle name="_SubHeading_01 model" xfId="632"/>
    <cellStyle name="_SubHeading_01 model 2" xfId="1926"/>
    <cellStyle name="_SubHeading_01 Selected Financials_Salt Business" xfId="633"/>
    <cellStyle name="_SubHeading_01 Selected Financials_Salt Business 2" xfId="1927"/>
    <cellStyle name="_SubHeading_02 Potential Partner Ability to Pay Analysis2" xfId="634"/>
    <cellStyle name="_SubHeading_02 Potential Partner Ability to Pay Analysis2 2" xfId="1928"/>
    <cellStyle name="_SubHeading_02 Quick Model_PQ Corporation" xfId="635"/>
    <cellStyle name="_SubHeading_02 Quick Model_PQ Corporation 2" xfId="1929"/>
    <cellStyle name="_SubHeading_06 Analysis at Various Prices" xfId="636"/>
    <cellStyle name="_SubHeading_06 Analysis at Various Prices 2" xfId="1930"/>
    <cellStyle name="_SubHeading_12 Merger Plans" xfId="637"/>
    <cellStyle name="_SubHeading_12 Merger Plans 2" xfId="1931"/>
    <cellStyle name="_SubHeading_accretion dilution analysis" xfId="638"/>
    <cellStyle name="_SubHeading_accretion dilution analysis 2" xfId="1932"/>
    <cellStyle name="_SubHeading_bank_csc_and merger plan4" xfId="639"/>
    <cellStyle name="_SubHeading_bank_csc_and merger plan4 2" xfId="1933"/>
    <cellStyle name="_SubHeading_bank_csc_Q1_2001" xfId="640"/>
    <cellStyle name="_SubHeading_bank_csc_Q1_2001 2" xfId="1934"/>
    <cellStyle name="_SubHeading_bank_csc_Q2_2001" xfId="641"/>
    <cellStyle name="_SubHeading_bank_csc_Q2_2001 2" xfId="1935"/>
    <cellStyle name="_SubHeading_bank_csc_Q2_2001_c1" xfId="642"/>
    <cellStyle name="_SubHeading_bank_csc_Q2_2001_c1 2" xfId="1936"/>
    <cellStyle name="_SubHeading_Book1" xfId="643"/>
    <cellStyle name="_SubHeading_Book1 2" xfId="1937"/>
    <cellStyle name="_SubHeading_CSC with WACC" xfId="644"/>
    <cellStyle name="_SubHeading_CSC with WACC 2" xfId="1938"/>
    <cellStyle name="_SubHeading_CSC_Palm_Sum_of_Parts_5_23_01a" xfId="645"/>
    <cellStyle name="_SubHeading_CSC_Palm_Sum_of_Parts_5_23_01a 2" xfId="1939"/>
    <cellStyle name="_SubHeading_Dave Model Final v 1" xfId="646"/>
    <cellStyle name="_SubHeading_Dave Model Final v 1 2" xfId="1940"/>
    <cellStyle name="_SubHeading_er" xfId="647"/>
    <cellStyle name="_SubHeading_er 2" xfId="1941"/>
    <cellStyle name="_SubHeading_FigTech Merger Model_02" xfId="648"/>
    <cellStyle name="_SubHeading_FigTech Merger Model_02 2" xfId="1942"/>
    <cellStyle name="_SubHeading_Final Canadian Bank Comp (sent to IBD)FORM" xfId="649"/>
    <cellStyle name="_SubHeading_Final Canadian Bank Comp (sent to IBD)FORM 2" xfId="1943"/>
    <cellStyle name="_SubHeading_Financials Layout dpak 9-26-01 v1" xfId="650"/>
    <cellStyle name="_SubHeading_Financials Layout dpak 9-26-01 v1 2" xfId="1944"/>
    <cellStyle name="_SubHeading_Football Field" xfId="651"/>
    <cellStyle name="_SubHeading_Football Field 2" xfId="1945"/>
    <cellStyle name="_SubHeading_IBES_EPS_Estimates" xfId="652"/>
    <cellStyle name="_SubHeading_IBES_EPS_Estimates 2" xfId="1946"/>
    <cellStyle name="_SubHeading_lbo_long_model" xfId="653"/>
    <cellStyle name="_SubHeading_lbo_long_model 2" xfId="1947"/>
    <cellStyle name="_SubHeading_Master_Telecom_Equipment_CSC_5_9_01_v02" xfId="654"/>
    <cellStyle name="_SubHeading_Master_Telecom_Equipment_CSC_5_9_01_v02 2" xfId="1948"/>
    <cellStyle name="_SubHeading_Master_Telecom_Equipment_CSCb" xfId="655"/>
    <cellStyle name="_SubHeading_Master_Telecom_Equipment_CSCb 2" xfId="1949"/>
    <cellStyle name="_SubHeading_MAXF historical financials" xfId="656"/>
    <cellStyle name="_SubHeading_MAXF historical financials 2" xfId="1950"/>
    <cellStyle name="_SubHeading_Merger model_new_ability to pay" xfId="657"/>
    <cellStyle name="_SubHeading_Merger model_new_ability to pay 2" xfId="1951"/>
    <cellStyle name="_SubHeading_Merger Plan 31-Scenario 12" xfId="658"/>
    <cellStyle name="_SubHeading_Merger Plan 31-Scenario 12 2" xfId="1952"/>
    <cellStyle name="_SubHeading_merger plans_June 1" xfId="659"/>
    <cellStyle name="_SubHeading_merger plans_June 1 2" xfId="1953"/>
    <cellStyle name="_SubHeading_model_bk" xfId="660"/>
    <cellStyle name="_SubHeading_model_bk 2" xfId="1954"/>
    <cellStyle name="_SubHeading_monet2.4" xfId="661"/>
    <cellStyle name="_SubHeading_monet2.4 2" xfId="1955"/>
    <cellStyle name="_SubHeading_MotLion Projections may" xfId="662"/>
    <cellStyle name="_SubHeading_MotLion Projections may 2" xfId="1956"/>
    <cellStyle name="_SubHeading_PL Consolidated (2003)" xfId="663"/>
    <cellStyle name="_SubHeading_PL Consolidated (2003) 2" xfId="1957"/>
    <cellStyle name="_SubHeading_PNC_merger_plan_divestitures_05" xfId="664"/>
    <cellStyle name="_SubHeading_PNC_merger_plan_divestitures_05 2" xfId="1958"/>
    <cellStyle name="_SubHeading_Potential Strategic Partners" xfId="665"/>
    <cellStyle name="_SubHeading_Potential Strategic Partners 2" xfId="1959"/>
    <cellStyle name="_SubHeading_prestemp" xfId="666"/>
    <cellStyle name="_SubHeading_prestemp 2" xfId="1960"/>
    <cellStyle name="_SubHeading_prestemp_1" xfId="667"/>
    <cellStyle name="_SubHeading_prestemp_1 2" xfId="1961"/>
    <cellStyle name="_SubHeading_prestemp_AVP - prev. 06 financials" xfId="668"/>
    <cellStyle name="_SubHeading_prestemp_AVP - prev. 06 financials 2" xfId="1962"/>
    <cellStyle name="_SubHeading_prestemp_Palm Model 10_05" xfId="669"/>
    <cellStyle name="_SubHeading_prestemp_Palm Model 10_05 2" xfId="1963"/>
    <cellStyle name="_SubHeading_prestemp_PNC_merger_plan_divestitures_05" xfId="670"/>
    <cellStyle name="_SubHeading_prestemp_PNC_merger_plan_divestitures_05 2" xfId="1964"/>
    <cellStyle name="_SubHeading_prestemp_PNC_PF_2Q_update" xfId="671"/>
    <cellStyle name="_SubHeading_prestemp_PNC_PF_2Q_update 2" xfId="1965"/>
    <cellStyle name="_SubHeading_prestemp_Simple Merger Plans" xfId="672"/>
    <cellStyle name="_SubHeading_prestemp_Simple Merger Plans 2" xfId="1966"/>
    <cellStyle name="_SubHeading_prestemp_Troon DCF Model 8-13-02 v1" xfId="673"/>
    <cellStyle name="_SubHeading_prestemp_Troon DCF Model 8-13-02 v1 2" xfId="1967"/>
    <cellStyle name="_SubHeading_prestemp_Valuation_Troon dpak 8-5-02 v3" xfId="674"/>
    <cellStyle name="_SubHeading_prestemp_Valuation_Troon dpak 8-5-02 v3 2" xfId="1968"/>
    <cellStyle name="_SubHeading_Simple Merger Plans" xfId="675"/>
    <cellStyle name="_SubHeading_Simple Merger Plans 2" xfId="1969"/>
    <cellStyle name="_SubHeading_Stallion Analysis_a" xfId="676"/>
    <cellStyle name="_SubHeading_Stallion Analysis_a 2" xfId="1970"/>
    <cellStyle name="_SubHeading_stand_alone_dcf" xfId="677"/>
    <cellStyle name="_SubHeading_stand_alone_dcf 2" xfId="1971"/>
    <cellStyle name="_SubHeading_Summary Financials 04" xfId="678"/>
    <cellStyle name="_SubHeading_Summary Financials 04 2" xfId="1972"/>
    <cellStyle name="_SubHeading_Summary Valuation Analysis" xfId="679"/>
    <cellStyle name="_SubHeading_Summary Valuation Analysis 2" xfId="1973"/>
    <cellStyle name="_SubHeading_Synergies" xfId="680"/>
    <cellStyle name="_SubHeading_Synergies 2" xfId="1974"/>
    <cellStyle name="_SubHeading_Troon DCF Model 8-13-02 v1" xfId="681"/>
    <cellStyle name="_SubHeading_Troon DCF Model 8-13-02 v1 2" xfId="1975"/>
    <cellStyle name="_SubHeading_Troon LLC FS dpakedit 8-7-02" xfId="682"/>
    <cellStyle name="_SubHeading_Troon LLC FS dpakedit 8-7-02 2" xfId="1976"/>
    <cellStyle name="_SubHeading_Troon LLC FS dpakedit 8-7-02 v3" xfId="683"/>
    <cellStyle name="_SubHeading_Troon LLC FS dpakedit 8-7-02 v3 2" xfId="1977"/>
    <cellStyle name="_SubHeading_Troon LLC FS dpakedit 8-7-02 v4" xfId="684"/>
    <cellStyle name="_SubHeading_Troon LLC FS dpakedit 8-7-02 v4 2" xfId="1978"/>
    <cellStyle name="_SubHeading_Valuation_Troon dpak 8-5-02 v3" xfId="685"/>
    <cellStyle name="_SubHeading_Valuation_Troon dpak 8-5-02 v3 2" xfId="1979"/>
    <cellStyle name="_Table" xfId="686"/>
    <cellStyle name="_Table 2" xfId="1980"/>
    <cellStyle name="_Table_01 model" xfId="687"/>
    <cellStyle name="_Table_01 model 2" xfId="1981"/>
    <cellStyle name="_Table_01 Selected Financials_Salt Business" xfId="688"/>
    <cellStyle name="_Table_01 Selected Financials_Salt Business 2" xfId="1982"/>
    <cellStyle name="_Table_02 Potential Partner Ability to Pay Analysis2" xfId="689"/>
    <cellStyle name="_Table_02 Potential Partner Ability to Pay Analysis2 2" xfId="1983"/>
    <cellStyle name="_Table_02 Quick Model_PQ Corporation" xfId="690"/>
    <cellStyle name="_Table_02 Quick Model_PQ Corporation 2" xfId="1984"/>
    <cellStyle name="_Table_06 Analysis at Various Prices" xfId="691"/>
    <cellStyle name="_Table_06 Analysis at Various Prices 2" xfId="1985"/>
    <cellStyle name="_Table_12 Merger Plans" xfId="692"/>
    <cellStyle name="_Table_12 Merger Plans 2" xfId="1986"/>
    <cellStyle name="_Table_accretion dilution analysis" xfId="693"/>
    <cellStyle name="_Table_accretion dilution analysis 2" xfId="1987"/>
    <cellStyle name="_Table_bank_csc_and merger plan4" xfId="694"/>
    <cellStyle name="_Table_bank_csc_and merger plan4 2" xfId="1355"/>
    <cellStyle name="_Table_bank_csc_and merger plan4 2 2" xfId="2458"/>
    <cellStyle name="_Table_bank_csc_and merger plan4 3" xfId="1988"/>
    <cellStyle name="_Table_bank_csc_Q1_2001" xfId="695"/>
    <cellStyle name="_Table_bank_csc_Q1_2001 2" xfId="1989"/>
    <cellStyle name="_Table_bank_csc_Q2_2001" xfId="696"/>
    <cellStyle name="_Table_bank_csc_Q2_2001 2" xfId="1354"/>
    <cellStyle name="_Table_bank_csc_Q2_2001 2 2" xfId="2457"/>
    <cellStyle name="_Table_bank_csc_Q2_2001 3" xfId="1990"/>
    <cellStyle name="_Table_bank_csc_Q2_2001_c1" xfId="697"/>
    <cellStyle name="_Table_bank_csc_Q2_2001_c1 2" xfId="1353"/>
    <cellStyle name="_Table_bank_csc_Q2_2001_c1 2 2" xfId="2456"/>
    <cellStyle name="_Table_bank_csc_Q2_2001_c1 3" xfId="1991"/>
    <cellStyle name="_Table_CSC_Palm_Sum_of_Parts_5_23_01a" xfId="698"/>
    <cellStyle name="_Table_CSC_Palm_Sum_of_Parts_5_23_01a 2" xfId="1992"/>
    <cellStyle name="_Table_Dave Model Final v 1" xfId="699"/>
    <cellStyle name="_Table_Dave Model Final v 1 2" xfId="1993"/>
    <cellStyle name="_Table_FigTech Merger Model_02" xfId="700"/>
    <cellStyle name="_Table_FigTech Merger Model_02 2" xfId="1994"/>
    <cellStyle name="_Table_Financials Layout dpak 9-26-01 v1" xfId="701"/>
    <cellStyle name="_Table_Financials Layout dpak 9-26-01 v1 2" xfId="1995"/>
    <cellStyle name="_Table_Football Field" xfId="702"/>
    <cellStyle name="_Table_Football Field 2" xfId="1352"/>
    <cellStyle name="_Table_Football Field 2 2" xfId="2455"/>
    <cellStyle name="_Table_Football Field 3" xfId="1996"/>
    <cellStyle name="_Table_IBES_EPS_Estimates" xfId="703"/>
    <cellStyle name="_Table_IBES_EPS_Estimates 2" xfId="1997"/>
    <cellStyle name="_Table_Merger model_new_ability to pay" xfId="704"/>
    <cellStyle name="_Table_Merger model_new_ability to pay 2" xfId="1998"/>
    <cellStyle name="_Table_model_bk" xfId="705"/>
    <cellStyle name="_Table_model_bk 2" xfId="1999"/>
    <cellStyle name="_Table_monet_final_w_output" xfId="706"/>
    <cellStyle name="_Table_monet_final_w_output 2" xfId="1351"/>
    <cellStyle name="_Table_monet_final_w_output 2 2" xfId="2454"/>
    <cellStyle name="_Table_monet_final_w_output 3" xfId="2000"/>
    <cellStyle name="_Table_Palm Model 10_05" xfId="707"/>
    <cellStyle name="_Table_Palm Model 10_05 2" xfId="2001"/>
    <cellStyle name="_Table_PNC_merger_plan_divestitures_05" xfId="708"/>
    <cellStyle name="_Table_PNC_merger_plan_divestitures_05 2" xfId="2002"/>
    <cellStyle name="_Table_Potential Strategic Partners" xfId="709"/>
    <cellStyle name="_Table_Potential Strategic Partners 2" xfId="2003"/>
    <cellStyle name="_Table_Simple Merger Plans" xfId="710"/>
    <cellStyle name="_Table_Simple Merger Plans 2" xfId="1350"/>
    <cellStyle name="_Table_Simple Merger Plans 2 2" xfId="2453"/>
    <cellStyle name="_Table_Simple Merger Plans 3" xfId="2004"/>
    <cellStyle name="_Table_Stallion Analysis_a" xfId="711"/>
    <cellStyle name="_Table_Stallion Analysis_a 2" xfId="2005"/>
    <cellStyle name="_Table_stand_alone_dcf" xfId="712"/>
    <cellStyle name="_Table_stand_alone_dcf 2" xfId="2006"/>
    <cellStyle name="_Table_Summary Valuation Analysis" xfId="713"/>
    <cellStyle name="_Table_Summary Valuation Analysis 2" xfId="2007"/>
    <cellStyle name="_Table_Synergies" xfId="714"/>
    <cellStyle name="_Table_Synergies 2" xfId="2008"/>
    <cellStyle name="_Table_Troon DCF Model 8-13-02 v1" xfId="715"/>
    <cellStyle name="_Table_Troon DCF Model 8-13-02 v1 2" xfId="1349"/>
    <cellStyle name="_Table_Troon DCF Model 8-13-02 v1 2 2" xfId="2452"/>
    <cellStyle name="_Table_Troon DCF Model 8-13-02 v1 3" xfId="2009"/>
    <cellStyle name="_Table_Troon LLC FS dpakedit 8-7-02" xfId="716"/>
    <cellStyle name="_Table_Troon LLC FS dpakedit 8-7-02 2" xfId="2010"/>
    <cellStyle name="_Table_Troon LLC FS dpakedit 8-7-02 v3" xfId="717"/>
    <cellStyle name="_Table_Troon LLC FS dpakedit 8-7-02 v3 2" xfId="2011"/>
    <cellStyle name="_Table_Troon LLC FS dpakedit 8-7-02 v4" xfId="718"/>
    <cellStyle name="_Table_Troon LLC FS dpakedit 8-7-02 v4 2" xfId="2012"/>
    <cellStyle name="_Table_Valuation_Troon dpak 8-5-02 v3" xfId="719"/>
    <cellStyle name="_Table_Valuation_Troon dpak 8-5-02 v3 2" xfId="2013"/>
    <cellStyle name="_TableHead" xfId="720"/>
    <cellStyle name="_TableHead 2" xfId="2014"/>
    <cellStyle name="_TableHead_01 Selected Financials_Salt Business" xfId="721"/>
    <cellStyle name="_TableHead_01 Selected Financials_Salt Business 2" xfId="2015"/>
    <cellStyle name="_TableHead_02 Quick Model_PQ Corporation" xfId="722"/>
    <cellStyle name="_TableHead_02 Quick Model_PQ Corporation 2" xfId="2016"/>
    <cellStyle name="_TableHead_06 Analysis at Various Prices" xfId="723"/>
    <cellStyle name="_TableHead_06 Analysis at Various Prices 2" xfId="2017"/>
    <cellStyle name="_TableHead_accretion dilution analysis" xfId="724"/>
    <cellStyle name="_TableHead_accretion dilution analysis 2" xfId="2018"/>
    <cellStyle name="_TableHead_AVP - prev. 06 financials" xfId="725"/>
    <cellStyle name="_TableHead_AVP - prev. 06 financials 2" xfId="2019"/>
    <cellStyle name="_TableHead_bank_csc_Q1_2001" xfId="726"/>
    <cellStyle name="_TableHead_bank_csc_Q1_2001 2" xfId="2020"/>
    <cellStyle name="_TableHead_bank_csc_Q2_2001_c1" xfId="727"/>
    <cellStyle name="_TableHead_bank_csc_Q2_2001_c1 2" xfId="2021"/>
    <cellStyle name="_TableHead_CSC_Palm_Sum_of_Parts_5_23_01a" xfId="728"/>
    <cellStyle name="_TableHead_CSC_Palm_Sum_of_Parts_5_23_01a 2" xfId="2022"/>
    <cellStyle name="_TableHead_Dave Model Final v 1" xfId="729"/>
    <cellStyle name="_TableHead_Dave Model Final v 1 2" xfId="2023"/>
    <cellStyle name="_TableHead_Financials Layout dpak 9-26-01 v1" xfId="730"/>
    <cellStyle name="_TableHead_Financials Layout dpak 9-26-01 v1 2" xfId="2024"/>
    <cellStyle name="_TableHead_IBES_EPS_Estimates" xfId="731"/>
    <cellStyle name="_TableHead_IBES_EPS_Estimates 2" xfId="2025"/>
    <cellStyle name="_TableHead_model_bk" xfId="732"/>
    <cellStyle name="_TableHead_model_bk 2" xfId="2026"/>
    <cellStyle name="_TableHead_monet_final_w_output" xfId="733"/>
    <cellStyle name="_TableHead_monet_final_w_output 2" xfId="2027"/>
    <cellStyle name="_TableHead_Palm Model 10_05" xfId="734"/>
    <cellStyle name="_TableHead_Palm Model 10_05 2" xfId="2028"/>
    <cellStyle name="_TableHead_Potential Strategic Partners" xfId="735"/>
    <cellStyle name="_TableHead_Potential Strategic Partners 2" xfId="2029"/>
    <cellStyle name="_TableHead_Simple Merger Plans" xfId="736"/>
    <cellStyle name="_TableHead_Simple Merger Plans 2" xfId="2030"/>
    <cellStyle name="_TableRowBorder" xfId="737"/>
    <cellStyle name="_TableRowBorder 2" xfId="2031"/>
    <cellStyle name="_TableRowHead" xfId="738"/>
    <cellStyle name="_TableRowHead 2" xfId="2032"/>
    <cellStyle name="_TableRowHead_01 Selected Financials_Salt Business" xfId="739"/>
    <cellStyle name="_TableRowHead_01 Selected Financials_Salt Business 2" xfId="2033"/>
    <cellStyle name="_TableRowHead_02 Quick Model_PQ Corporation" xfId="740"/>
    <cellStyle name="_TableRowHead_02 Quick Model_PQ Corporation 2" xfId="2034"/>
    <cellStyle name="_TableRowHead_06 Analysis at Various Prices" xfId="741"/>
    <cellStyle name="_TableRowHead_06 Analysis at Various Prices 2" xfId="2035"/>
    <cellStyle name="_TableRowHead_accretion dilution analysis" xfId="742"/>
    <cellStyle name="_TableRowHead_accretion dilution analysis 2" xfId="2036"/>
    <cellStyle name="_TableRowHead_CSC_Palm_Sum_of_Parts_5_23_01a" xfId="743"/>
    <cellStyle name="_TableRowHead_CSC_Palm_Sum_of_Parts_5_23_01a 2" xfId="2037"/>
    <cellStyle name="_TableRowHead_Dave Model Final v 1" xfId="744"/>
    <cellStyle name="_TableRowHead_Dave Model Final v 1 2" xfId="2038"/>
    <cellStyle name="_TableRowHead_Financials Layout dpak 9-26-01 v1" xfId="745"/>
    <cellStyle name="_TableRowHead_Financials Layout dpak 9-26-01 v1 2" xfId="2039"/>
    <cellStyle name="_TableRowHead_IBES_EPS_Estimates" xfId="746"/>
    <cellStyle name="_TableRowHead_IBES_EPS_Estimates 2" xfId="2040"/>
    <cellStyle name="_TableRowHead_Palm Model 10_05" xfId="747"/>
    <cellStyle name="_TableRowHead_Palm Model 10_05 2" xfId="2041"/>
    <cellStyle name="_TableRowHead_Potential Strategic Partners" xfId="748"/>
    <cellStyle name="_TableRowHead_Potential Strategic Partners 2" xfId="2042"/>
    <cellStyle name="_TableRowHead_Simple Merger Plans" xfId="749"/>
    <cellStyle name="_TableRowHead_Simple Merger Plans 2" xfId="2043"/>
    <cellStyle name="_TableSuperHead" xfId="750"/>
    <cellStyle name="_TableSuperHead 2" xfId="2044"/>
    <cellStyle name="_TableSuperHead_01 model" xfId="751"/>
    <cellStyle name="_TableSuperHead_01 model 2" xfId="2045"/>
    <cellStyle name="_TableSuperHead_01 Selected Financials_Salt Business" xfId="752"/>
    <cellStyle name="_TableSuperHead_01 Selected Financials_Salt Business 2" xfId="2046"/>
    <cellStyle name="_TableSuperHead_02 Potential Partner Ability to Pay Analysis2" xfId="753"/>
    <cellStyle name="_TableSuperHead_02 Potential Partner Ability to Pay Analysis2 2" xfId="2047"/>
    <cellStyle name="_TableSuperHead_02 Quick Model_PQ Corporation" xfId="754"/>
    <cellStyle name="_TableSuperHead_02 Quick Model_PQ Corporation 2" xfId="2048"/>
    <cellStyle name="_TableSuperHead_06 Analysis at Various Prices" xfId="755"/>
    <cellStyle name="_TableSuperHead_06 Analysis at Various Prices 2" xfId="2049"/>
    <cellStyle name="_TableSuperHead_12 Merger Plans" xfId="756"/>
    <cellStyle name="_TableSuperHead_12 Merger Plans 2" xfId="2050"/>
    <cellStyle name="_TableSuperHead_accretion dilution analysis" xfId="757"/>
    <cellStyle name="_TableSuperHead_accretion dilution analysis 2" xfId="2051"/>
    <cellStyle name="_TableSuperHead_AVP - prev. 06 financials" xfId="758"/>
    <cellStyle name="_TableSuperHead_AVP - prev. 06 financials 2" xfId="2052"/>
    <cellStyle name="_TableSuperHead_bank_csc_and merger plan4" xfId="759"/>
    <cellStyle name="_TableSuperHead_bank_csc_and merger plan4 2" xfId="2053"/>
    <cellStyle name="_TableSuperHead_bank_csc_Q1_2001" xfId="760"/>
    <cellStyle name="_TableSuperHead_bank_csc_Q1_2001 2" xfId="2054"/>
    <cellStyle name="_TableSuperHead_bank_csc_Q2_2001" xfId="761"/>
    <cellStyle name="_TableSuperHead_bank_csc_Q2_2001 2" xfId="2055"/>
    <cellStyle name="_TableSuperHead_bank_csc_Q2_2001_c1" xfId="762"/>
    <cellStyle name="_TableSuperHead_bank_csc_Q2_2001_c1 2" xfId="2056"/>
    <cellStyle name="_TableSuperHead_CSC_Palm_Sum_of_Parts_5_23_01a" xfId="763"/>
    <cellStyle name="_TableSuperHead_CSC_Palm_Sum_of_Parts_5_23_01a 2" xfId="2057"/>
    <cellStyle name="_TableSuperHead_Dave Model Final v 1" xfId="764"/>
    <cellStyle name="_TableSuperHead_Dave Model Final v 1 2" xfId="2058"/>
    <cellStyle name="_TableSuperHead_FigTech Merger Model_02" xfId="765"/>
    <cellStyle name="_TableSuperHead_FigTech Merger Model_02 2" xfId="2059"/>
    <cellStyle name="_TableSuperHead_Financials Layout dpak 9-26-01 v1" xfId="766"/>
    <cellStyle name="_TableSuperHead_Financials Layout dpak 9-26-01 v1 2" xfId="2060"/>
    <cellStyle name="_TableSuperHead_Football Field" xfId="767"/>
    <cellStyle name="_TableSuperHead_Football Field 2" xfId="2061"/>
    <cellStyle name="_TableSuperHead_IBES_EPS_Estimates" xfId="768"/>
    <cellStyle name="_TableSuperHead_IBES_EPS_Estimates 2" xfId="2062"/>
    <cellStyle name="_TableSuperHead_Merger model_new_ability to pay" xfId="769"/>
    <cellStyle name="_TableSuperHead_Merger model_new_ability to pay 2" xfId="2063"/>
    <cellStyle name="_TableSuperHead_model_bk" xfId="770"/>
    <cellStyle name="_TableSuperHead_model_bk 2" xfId="2064"/>
    <cellStyle name="_TableSuperHead_monet_final_w_output" xfId="771"/>
    <cellStyle name="_TableSuperHead_monet_final_w_output 2" xfId="2065"/>
    <cellStyle name="_TableSuperHead_Palm Model 10_05" xfId="772"/>
    <cellStyle name="_TableSuperHead_Palm Model 10_05 2" xfId="2066"/>
    <cellStyle name="_TableSuperHead_PNC_merger_plan_divestitures_05" xfId="773"/>
    <cellStyle name="_TableSuperHead_PNC_merger_plan_divestitures_05 2" xfId="2067"/>
    <cellStyle name="_TableSuperHead_Potential Strategic Partners" xfId="774"/>
    <cellStyle name="_TableSuperHead_Potential Strategic Partners 2" xfId="2068"/>
    <cellStyle name="_TableSuperHead_Simple Merger Plans" xfId="775"/>
    <cellStyle name="_TableSuperHead_Simple Merger Plans 2" xfId="2069"/>
    <cellStyle name="_TableSuperHead_Stallion Analysis_a" xfId="776"/>
    <cellStyle name="_TableSuperHead_Stallion Analysis_a 2" xfId="2070"/>
    <cellStyle name="_TableSuperHead_stand_alone_dcf" xfId="777"/>
    <cellStyle name="_TableSuperHead_stand_alone_dcf 2" xfId="2071"/>
    <cellStyle name="_TableSuperHead_Summary Valuation Analysis" xfId="778"/>
    <cellStyle name="_TableSuperHead_Summary Valuation Analysis 2" xfId="2072"/>
    <cellStyle name="_TableSuperHead_Synergies" xfId="779"/>
    <cellStyle name="_TableSuperHead_Synergies 2" xfId="2073"/>
    <cellStyle name="_TableSuperHead_Troon DCF Model 8-13-02 v1" xfId="780"/>
    <cellStyle name="_TableSuperHead_Troon DCF Model 8-13-02 v1 2" xfId="2074"/>
    <cellStyle name="_TableSuperHead_Troon LLC FS dpakedit 8-7-02" xfId="781"/>
    <cellStyle name="_TableSuperHead_Troon LLC FS dpakedit 8-7-02 2" xfId="2075"/>
    <cellStyle name="_TableSuperHead_Troon LLC FS dpakedit 8-7-02 v3" xfId="782"/>
    <cellStyle name="_TableSuperHead_Troon LLC FS dpakedit 8-7-02 v3 2" xfId="2076"/>
    <cellStyle name="_TableSuperHead_Troon LLC FS dpakedit 8-7-02 v4" xfId="783"/>
    <cellStyle name="_TableSuperHead_Troon LLC FS dpakedit 8-7-02 v4 2" xfId="2077"/>
    <cellStyle name="_TableSuperHead_Valuation_Troon dpak 8-5-02 v3" xfId="784"/>
    <cellStyle name="_TableSuperHead_Valuation_Troon dpak 8-5-02 v3 2" xfId="2078"/>
    <cellStyle name="_Titan Standalone" xfId="785"/>
    <cellStyle name="_WACC Analysis" xfId="786"/>
    <cellStyle name="_WACC Analysis 2" xfId="2079"/>
    <cellStyle name="_Year" xfId="787"/>
    <cellStyle name="_Year 2" xfId="2080"/>
    <cellStyle name="_Year_BCE Model 1-8-07" xfId="788"/>
    <cellStyle name="_Year_BCE Model 1-8-07 2" xfId="2081"/>
    <cellStyle name="’Ê‰Ý [0.00]_Cover" xfId="789"/>
    <cellStyle name="’Ê‰Ý_Cover" xfId="790"/>
    <cellStyle name="¢ Currency [1]" xfId="791"/>
    <cellStyle name="¢ Currency [1] 2" xfId="2082"/>
    <cellStyle name="¢ Currency [2]" xfId="792"/>
    <cellStyle name="¢ Currency [2] 2" xfId="2083"/>
    <cellStyle name="¢ Currency [3]" xfId="793"/>
    <cellStyle name="¢ Currency [3] 2" xfId="2084"/>
    <cellStyle name="£ BP" xfId="794"/>
    <cellStyle name="£ BP 2" xfId="2085"/>
    <cellStyle name="£ Currency [0]" xfId="795"/>
    <cellStyle name="£ Currency [0] 2" xfId="2086"/>
    <cellStyle name="£ Currency [1]" xfId="796"/>
    <cellStyle name="£ Currency [1] 2" xfId="2087"/>
    <cellStyle name="£ Currency [2]" xfId="797"/>
    <cellStyle name="£ Currency [2] 2" xfId="2088"/>
    <cellStyle name="¤@¯ë_pldt" xfId="798"/>
    <cellStyle name="¥ JY" xfId="799"/>
    <cellStyle name="¥ JY 2" xfId="2089"/>
    <cellStyle name="=C:\WINDOWS\SYSTEM32\COMMAND.COM" xfId="800"/>
    <cellStyle name="=C:\WINNT\SYSTEM32\COMMAND.COM" xfId="801"/>
    <cellStyle name="=C:\WINNT\SYSTEM32\COMMAND.COM 2" xfId="2090"/>
    <cellStyle name="=C:\WINNT35\SYSTEM32\COMMAND.COM" xfId="802"/>
    <cellStyle name="=C:\WINNT35\SYSTEM32\COMMAND.COM 2" xfId="2091"/>
    <cellStyle name="•W€_Capital Structure" xfId="803"/>
    <cellStyle name="•W_Cover" xfId="804"/>
    <cellStyle name="0" xfId="805"/>
    <cellStyle name="0 2" xfId="2092"/>
    <cellStyle name="0%" xfId="806"/>
    <cellStyle name="0.0" xfId="807"/>
    <cellStyle name="0.0 2" xfId="2093"/>
    <cellStyle name="0.0 NORMAL" xfId="808"/>
    <cellStyle name="0.0 NORMAL 2" xfId="2094"/>
    <cellStyle name="0.0 PERCENT" xfId="809"/>
    <cellStyle name="0.0 PERCENT 2" xfId="2095"/>
    <cellStyle name="0.0%" xfId="810"/>
    <cellStyle name="0.0% 2" xfId="2096"/>
    <cellStyle name="0.00" xfId="811"/>
    <cellStyle name="0.00%" xfId="812"/>
    <cellStyle name="0_CKFR Model 11-30-06" xfId="813"/>
    <cellStyle name="0_CKFR Model 11-30-06 2" xfId="2097"/>
    <cellStyle name="0_CKFR Model 11-30-06_BCE Model 1-8-07" xfId="814"/>
    <cellStyle name="0_CKFR Model 11-30-06_BCE Model 1-8-07 2" xfId="2098"/>
    <cellStyle name="000" xfId="815"/>
    <cellStyle name="000 2" xfId="1356"/>
    <cellStyle name="0000" xfId="816"/>
    <cellStyle name="0000 2" xfId="2099"/>
    <cellStyle name="000000" xfId="817"/>
    <cellStyle name="000000 2" xfId="2100"/>
    <cellStyle name="1,comma" xfId="818"/>
    <cellStyle name="1,comma 2" xfId="2101"/>
    <cellStyle name="³f¹ô[0]_pldt" xfId="819"/>
    <cellStyle name="³f¹ô_pldt" xfId="820"/>
    <cellStyle name="752131" xfId="821"/>
    <cellStyle name="8" xfId="822"/>
    <cellStyle name="8 2" xfId="2102"/>
    <cellStyle name="a - Comma" xfId="823"/>
    <cellStyle name="a - Comma 2" xfId="2103"/>
    <cellStyle name="A_Block Space" xfId="824"/>
    <cellStyle name="A_BlueLine" xfId="825"/>
    <cellStyle name="A_BlueLine 2" xfId="2104"/>
    <cellStyle name="A_Do not Change" xfId="826"/>
    <cellStyle name="A_Estimate" xfId="827"/>
    <cellStyle name="A_Memo" xfId="828"/>
    <cellStyle name="A_Normal" xfId="829"/>
    <cellStyle name="A_Normal Forecast" xfId="830"/>
    <cellStyle name="A_Normal Historical" xfId="831"/>
    <cellStyle name="A_Rate_Data" xfId="832"/>
    <cellStyle name="A_Rate_Data Historical" xfId="833"/>
    <cellStyle name="A_Rate_Title" xfId="834"/>
    <cellStyle name="A_Simple Title" xfId="835"/>
    <cellStyle name="A_Sum" xfId="836"/>
    <cellStyle name="A_SUM_Row Major" xfId="837"/>
    <cellStyle name="A_SUM_Row Minor" xfId="838"/>
    <cellStyle name="A_Title" xfId="839"/>
    <cellStyle name="A_YearHeadings" xfId="840"/>
    <cellStyle name="A_YearHeadings 2" xfId="2105"/>
    <cellStyle name="Absolute Change" xfId="841"/>
    <cellStyle name="Absolute Change 2" xfId="2106"/>
    <cellStyle name="Accent1 - 20%" xfId="2483"/>
    <cellStyle name="Accent1 - 40%" xfId="2484"/>
    <cellStyle name="Accent1 - 60%" xfId="2485"/>
    <cellStyle name="Accent2 - 20%" xfId="2486"/>
    <cellStyle name="Accent2 - 40%" xfId="2487"/>
    <cellStyle name="Accent2 - 60%" xfId="2488"/>
    <cellStyle name="Accent3 - 20%" xfId="2489"/>
    <cellStyle name="Accent3 - 40%" xfId="2490"/>
    <cellStyle name="Accent3 - 60%" xfId="2491"/>
    <cellStyle name="Accent4 - 20%" xfId="2492"/>
    <cellStyle name="Accent4 - 40%" xfId="2493"/>
    <cellStyle name="Accent4 - 60%" xfId="2494"/>
    <cellStyle name="Accent5 - 20%" xfId="2495"/>
    <cellStyle name="Accent5 - 40%" xfId="2496"/>
    <cellStyle name="Accent5 - 60%" xfId="2497"/>
    <cellStyle name="Accent6 - 20%" xfId="2498"/>
    <cellStyle name="Accent6 - 40%" xfId="2499"/>
    <cellStyle name="Accent6 - 60%" xfId="2500"/>
    <cellStyle name="Acctg" xfId="842"/>
    <cellStyle name="Acctg$" xfId="843"/>
    <cellStyle name="Actual data" xfId="844"/>
    <cellStyle name="Actual data 2" xfId="2107"/>
    <cellStyle name="Actual Date" xfId="845"/>
    <cellStyle name="Actual Date 2" xfId="2108"/>
    <cellStyle name="Actual Date 2 2" xfId="2634"/>
    <cellStyle name="Actual Date 3" xfId="2627"/>
    <cellStyle name="Actual year" xfId="846"/>
    <cellStyle name="Actual year 2" xfId="2109"/>
    <cellStyle name="Actuals Cells" xfId="847"/>
    <cellStyle name="Actuals Cells 2" xfId="2110"/>
    <cellStyle name="AFE" xfId="848"/>
    <cellStyle name="AFE 2" xfId="849"/>
    <cellStyle name="AFE 2 2" xfId="2112"/>
    <cellStyle name="AFE 3" xfId="2111"/>
    <cellStyle name="args.style" xfId="850"/>
    <cellStyle name="args.style 2" xfId="2113"/>
    <cellStyle name="Arial 10" xfId="851"/>
    <cellStyle name="Arial 10 2" xfId="2114"/>
    <cellStyle name="Arial 12" xfId="852"/>
    <cellStyle name="Arial 12 2" xfId="2115"/>
    <cellStyle name="Arial6Bold" xfId="853"/>
    <cellStyle name="Arial6Bold 2" xfId="1357"/>
    <cellStyle name="Arial6Bold 2 2" xfId="2459"/>
    <cellStyle name="Arial6Bold 3" xfId="2116"/>
    <cellStyle name="Arial8Bold" xfId="854"/>
    <cellStyle name="Arial8Bold 2" xfId="1358"/>
    <cellStyle name="Arial8Bold 2 2" xfId="2460"/>
    <cellStyle name="Arial8Bold 3" xfId="2117"/>
    <cellStyle name="Arial8Italic" xfId="855"/>
    <cellStyle name="Arial8Italic 2" xfId="1359"/>
    <cellStyle name="Arial8Italic 2 2" xfId="2461"/>
    <cellStyle name="Arial8Italic 3" xfId="2118"/>
    <cellStyle name="ArialNormal" xfId="856"/>
    <cellStyle name="ArialNormal 2" xfId="1360"/>
    <cellStyle name="ArialNormal 2 2" xfId="2462"/>
    <cellStyle name="ArialNormal 3" xfId="2119"/>
    <cellStyle name="Ariel 7 pt. plain" xfId="857"/>
    <cellStyle name="Ariel 7 pt. plain 2" xfId="2120"/>
    <cellStyle name="Assumption" xfId="858"/>
    <cellStyle name="Assumption 2" xfId="2121"/>
    <cellStyle name="b - Line" xfId="859"/>
    <cellStyle name="b - Line - Dotted" xfId="860"/>
    <cellStyle name="b - Line - Dotted 2" xfId="2123"/>
    <cellStyle name="b - Line 2" xfId="2122"/>
    <cellStyle name="b - Line 3" xfId="2564"/>
    <cellStyle name="b - Line 4" xfId="2561"/>
    <cellStyle name="Balance" xfId="861"/>
    <cellStyle name="Balance 2" xfId="2124"/>
    <cellStyle name="Balance Sheet" xfId="862"/>
    <cellStyle name="Balance Sheet 2" xfId="2125"/>
    <cellStyle name="BalanceSheet" xfId="863"/>
    <cellStyle name="BalanceSheet 2" xfId="2126"/>
    <cellStyle name="Band 2" xfId="864"/>
    <cellStyle name="Band 2 2" xfId="2636"/>
    <cellStyle name="Bank1" xfId="865"/>
    <cellStyle name="BAS Comma [0]" xfId="866"/>
    <cellStyle name="BAS Comma [1]" xfId="867"/>
    <cellStyle name="BAS Comma [1] 2" xfId="2127"/>
    <cellStyle name="BAS Currency [0]" xfId="868"/>
    <cellStyle name="BAS Currency [0] 2" xfId="2128"/>
    <cellStyle name="BAS Currency [1]" xfId="869"/>
    <cellStyle name="BAS Currency [1] 2" xfId="2129"/>
    <cellStyle name="BAS Currency [2]" xfId="870"/>
    <cellStyle name="BAS Currency [2] 2" xfId="2130"/>
    <cellStyle name="BAS Multiple [1]" xfId="871"/>
    <cellStyle name="BAS Multiple [1] 2" xfId="2131"/>
    <cellStyle name="BAS Percent Actual [1]" xfId="872"/>
    <cellStyle name="BAS Percent Actual [1] 2" xfId="2132"/>
    <cellStyle name="Basic" xfId="873"/>
    <cellStyle name="Basic 2" xfId="2133"/>
    <cellStyle name="BB_Date_mmm" xfId="874"/>
    <cellStyle name="BLACK" xfId="875"/>
    <cellStyle name="BLACK 2" xfId="2134"/>
    <cellStyle name="BlackStrike" xfId="876"/>
    <cellStyle name="BlackStrike 2" xfId="2135"/>
    <cellStyle name="BlackText" xfId="877"/>
    <cellStyle name="BlackText 2" xfId="2136"/>
    <cellStyle name="blank" xfId="878"/>
    <cellStyle name="Blank [$]" xfId="879"/>
    <cellStyle name="Blank [$] 2" xfId="2138"/>
    <cellStyle name="Blank [%]" xfId="880"/>
    <cellStyle name="Blank [%] 2" xfId="2139"/>
    <cellStyle name="Blank [,]" xfId="881"/>
    <cellStyle name="Blank [,] 2" xfId="2140"/>
    <cellStyle name="Blank [1$]" xfId="882"/>
    <cellStyle name="Blank [1$] 2" xfId="2141"/>
    <cellStyle name="Blank [1%]" xfId="883"/>
    <cellStyle name="Blank [1%] 2" xfId="2142"/>
    <cellStyle name="Blank [1,]" xfId="884"/>
    <cellStyle name="Blank [1,] 2" xfId="2143"/>
    <cellStyle name="Blank [2$]" xfId="885"/>
    <cellStyle name="Blank [2$] 2" xfId="2144"/>
    <cellStyle name="Blank [2%]" xfId="886"/>
    <cellStyle name="Blank [2%] 2" xfId="2145"/>
    <cellStyle name="Blank [2,]" xfId="887"/>
    <cellStyle name="Blank [2,] 2" xfId="2146"/>
    <cellStyle name="Blank [3$]" xfId="888"/>
    <cellStyle name="Blank [3$] 2" xfId="2147"/>
    <cellStyle name="Blank [3%]" xfId="889"/>
    <cellStyle name="Blank [3%] 2" xfId="2148"/>
    <cellStyle name="Blank [3,]" xfId="890"/>
    <cellStyle name="blank 2" xfId="2137"/>
    <cellStyle name="blank 3" xfId="2566"/>
    <cellStyle name="blank 4" xfId="2560"/>
    <cellStyle name="Blank Out" xfId="891"/>
    <cellStyle name="Blank_BCE Model 1-8-07" xfId="892"/>
    <cellStyle name="Block Titles" xfId="893"/>
    <cellStyle name="Block Titles 2" xfId="2149"/>
    <cellStyle name="Blue" xfId="894"/>
    <cellStyle name="Blue 2" xfId="2150"/>
    <cellStyle name="blue shading" xfId="895"/>
    <cellStyle name="Blue Table Text" xfId="896"/>
    <cellStyle name="Blue Table Text 2" xfId="2151"/>
    <cellStyle name="Blue Title" xfId="897"/>
    <cellStyle name="Blue Title 2" xfId="2152"/>
    <cellStyle name="blue$00" xfId="898"/>
    <cellStyle name="Blue_060114 BMarkingSummary_aj v3" xfId="899"/>
    <cellStyle name="bluenodec" xfId="900"/>
    <cellStyle name="bluenodec 2" xfId="2153"/>
    <cellStyle name="bluepercent" xfId="901"/>
    <cellStyle name="bluepercent 2" xfId="2154"/>
    <cellStyle name="Body" xfId="902"/>
    <cellStyle name="Body 2" xfId="2155"/>
    <cellStyle name="Bold" xfId="903"/>
    <cellStyle name="Bold/Border" xfId="904"/>
    <cellStyle name="Bold/Border 2" xfId="2156"/>
    <cellStyle name="BoldText" xfId="905"/>
    <cellStyle name="BoldText 2" xfId="2157"/>
    <cellStyle name="Border" xfId="906"/>
    <cellStyle name="Border Heavy" xfId="907"/>
    <cellStyle name="Border Heavy 2" xfId="2158"/>
    <cellStyle name="Border Thin" xfId="908"/>
    <cellStyle name="Border Thin 2" xfId="2159"/>
    <cellStyle name="Border, Bottom" xfId="909"/>
    <cellStyle name="Border, Bottom 2" xfId="2160"/>
    <cellStyle name="Border, Left" xfId="910"/>
    <cellStyle name="Border, Left 2" xfId="2161"/>
    <cellStyle name="Border, Left 2 2" xfId="2631"/>
    <cellStyle name="Border, Left 3" xfId="2635"/>
    <cellStyle name="Border, Right" xfId="911"/>
    <cellStyle name="Border, Right 2" xfId="2162"/>
    <cellStyle name="Border, Top" xfId="912"/>
    <cellStyle name="Border, Top 2" xfId="2163"/>
    <cellStyle name="border_BCE Model 1-8-07" xfId="913"/>
    <cellStyle name="BorderBold" xfId="914"/>
    <cellStyle name="Bottom bold border" xfId="915"/>
    <cellStyle name="Bottom Edge" xfId="916"/>
    <cellStyle name="Bottom Edge 2" xfId="1361"/>
    <cellStyle name="Bottom Edge 2 2" xfId="2463"/>
    <cellStyle name="Bottom Edge 3" xfId="2164"/>
    <cellStyle name="Bottom single border" xfId="917"/>
    <cellStyle name="British Pound" xfId="918"/>
    <cellStyle name="bullet" xfId="919"/>
    <cellStyle name="Bullet [0]" xfId="920"/>
    <cellStyle name="Bullet [0] 2" xfId="2165"/>
    <cellStyle name="Bullet [2]" xfId="921"/>
    <cellStyle name="Bullet [2] 2" xfId="2166"/>
    <cellStyle name="Bullet [4]" xfId="922"/>
    <cellStyle name="Bullet [4] 2" xfId="2167"/>
    <cellStyle name="Bullet_FS" xfId="923"/>
    <cellStyle name="Business Description" xfId="924"/>
    <cellStyle name="Business Description 2" xfId="2168"/>
    <cellStyle name="BvDAddIn_Currency" xfId="925"/>
    <cellStyle name="c" xfId="926"/>
    <cellStyle name="c 2" xfId="2169"/>
    <cellStyle name="c_BCE Model 1-8-07" xfId="927"/>
    <cellStyle name="c_BCE Model 1-8-07 2" xfId="2170"/>
    <cellStyle name="c_comps_1" xfId="928"/>
    <cellStyle name="c_comps_1 2" xfId="2171"/>
    <cellStyle name="C05_Style E Text" xfId="929"/>
    <cellStyle name="c3" xfId="930"/>
    <cellStyle name="c3 2" xfId="2172"/>
    <cellStyle name="Calc" xfId="931"/>
    <cellStyle name="Calc 2" xfId="2173"/>
    <cellStyle name="calc 3" xfId="2585"/>
    <cellStyle name="calc 4" xfId="2605"/>
    <cellStyle name="calc 5" xfId="2582"/>
    <cellStyle name="calc 6" xfId="2617"/>
    <cellStyle name="calc 7" xfId="2624"/>
    <cellStyle name="Calc Cells" xfId="932"/>
    <cellStyle name="Calc Currency (0)" xfId="933"/>
    <cellStyle name="Calc Currency (0) 2" xfId="2174"/>
    <cellStyle name="Calc Currency (2)" xfId="934"/>
    <cellStyle name="Calc Currency (2) 2" xfId="2175"/>
    <cellStyle name="Calc Percent (0)" xfId="935"/>
    <cellStyle name="Calc Percent (0) 2" xfId="2176"/>
    <cellStyle name="Calc Percent (1)" xfId="936"/>
    <cellStyle name="Calc Percent (1) 2" xfId="2177"/>
    <cellStyle name="Calc Percent (2)" xfId="937"/>
    <cellStyle name="Calc Percent (2) 2" xfId="2178"/>
    <cellStyle name="Calc Units (0)" xfId="938"/>
    <cellStyle name="Calc Units (0) 2" xfId="2179"/>
    <cellStyle name="Calc Units (1)" xfId="939"/>
    <cellStyle name="Calc Units (1) 2" xfId="2180"/>
    <cellStyle name="Calc Units (2)" xfId="940"/>
    <cellStyle name="Calc Units (2) 2" xfId="2181"/>
    <cellStyle name="Calc$" xfId="941"/>
    <cellStyle name="Calc$ 2" xfId="2182"/>
    <cellStyle name="Calc_BCE Model 1-8-07" xfId="942"/>
    <cellStyle name="Caption" xfId="943"/>
    <cellStyle name="Caption 2" xfId="2183"/>
    <cellStyle name="Case" xfId="944"/>
    <cellStyle name="Cash Flow Statement" xfId="945"/>
    <cellStyle name="Cash Flow Statement 2" xfId="2184"/>
    <cellStyle name="CashFlow" xfId="946"/>
    <cellStyle name="CashFlow 2" xfId="2185"/>
    <cellStyle name="category" xfId="947"/>
    <cellStyle name="category 2" xfId="2186"/>
    <cellStyle name="Category Name" xfId="948"/>
    <cellStyle name="Category Name 2" xfId="1362"/>
    <cellStyle name="Category Name 2 2" xfId="2464"/>
    <cellStyle name="Category Name 3" xfId="2187"/>
    <cellStyle name="center" xfId="949"/>
    <cellStyle name="center 2" xfId="2188"/>
    <cellStyle name="Center Across" xfId="950"/>
    <cellStyle name="Center Across 2" xfId="2189"/>
    <cellStyle name="Centered Heading" xfId="951"/>
    <cellStyle name="Centered Heading 2" xfId="2190"/>
    <cellStyle name="Cents" xfId="952"/>
    <cellStyle name="Ch, Column Header" xfId="953"/>
    <cellStyle name="Ch, Column Header 2" xfId="2191"/>
    <cellStyle name="Changeable" xfId="954"/>
    <cellStyle name="Check" xfId="955"/>
    <cellStyle name="Check 2" xfId="2192"/>
    <cellStyle name="Clean" xfId="956"/>
    <cellStyle name="Client Name" xfId="957"/>
    <cellStyle name="Client Name 2" xfId="2193"/>
    <cellStyle name="Co. Names" xfId="958"/>
    <cellStyle name="Co. Names - Bold" xfId="959"/>
    <cellStyle name="Co. Names - Bold 2" xfId="2195"/>
    <cellStyle name="Co. Names 2" xfId="2194"/>
    <cellStyle name="Co. Names 3" xfId="2567"/>
    <cellStyle name="Co. Names 4" xfId="2558"/>
    <cellStyle name="Co. Names_FS" xfId="960"/>
    <cellStyle name="COL HEADINGS" xfId="961"/>
    <cellStyle name="COL HEADINGS 2" xfId="2196"/>
    <cellStyle name="Colhead_left" xfId="962"/>
    <cellStyle name="ColHeading" xfId="963"/>
    <cellStyle name="ColHeading 2" xfId="2197"/>
    <cellStyle name="colheadleft" xfId="964"/>
    <cellStyle name="colheadleft 2" xfId="2198"/>
    <cellStyle name="colheadright" xfId="965"/>
    <cellStyle name="colheadright 2" xfId="2199"/>
    <cellStyle name="Collegamento ipertestuale_PLDT" xfId="966"/>
    <cellStyle name="Column Heading" xfId="967"/>
    <cellStyle name="Column Heading 2" xfId="1363"/>
    <cellStyle name="Column Heading 2 2" xfId="2465"/>
    <cellStyle name="Column Heading 3" xfId="2200"/>
    <cellStyle name="Column Headings" xfId="968"/>
    <cellStyle name="Column Headings 2" xfId="2201"/>
    <cellStyle name="column1" xfId="969"/>
    <cellStyle name="column1 2" xfId="2202"/>
    <cellStyle name="column1Big" xfId="970"/>
    <cellStyle name="column1Big 2" xfId="2203"/>
    <cellStyle name="ColumnHeadings" xfId="971"/>
    <cellStyle name="ColumnHeadings 2" xfId="2204"/>
    <cellStyle name="ColumnHeadings2" xfId="972"/>
    <cellStyle name="ColumnHeadings2 2" xfId="2205"/>
    <cellStyle name="coma" xfId="973"/>
    <cellStyle name="coma 2" xfId="2206"/>
    <cellStyle name="comm" xfId="974"/>
    <cellStyle name="comm 2" xfId="2207"/>
    <cellStyle name="Comma  - Style1" xfId="975"/>
    <cellStyle name="Comma  - Style1 2" xfId="2208"/>
    <cellStyle name="Comma  - Style1 3" xfId="2586"/>
    <cellStyle name="Comma  - Style2" xfId="976"/>
    <cellStyle name="Comma  - Style2 2" xfId="2209"/>
    <cellStyle name="Comma  - Style2 3" xfId="2587"/>
    <cellStyle name="Comma  - Style3" xfId="977"/>
    <cellStyle name="Comma  - Style3 2" xfId="2210"/>
    <cellStyle name="Comma  - Style4" xfId="978"/>
    <cellStyle name="Comma  - Style4 2" xfId="2211"/>
    <cellStyle name="Comma  - Style5" xfId="979"/>
    <cellStyle name="Comma  - Style5 2" xfId="2212"/>
    <cellStyle name="Comma  - Style6" xfId="980"/>
    <cellStyle name="Comma  - Style6 2" xfId="2213"/>
    <cellStyle name="Comma  - Style7" xfId="981"/>
    <cellStyle name="Comma  - Style7 2" xfId="2214"/>
    <cellStyle name="Comma  - Style8" xfId="982"/>
    <cellStyle name="Comma  - Style8 2" xfId="2215"/>
    <cellStyle name="Comma [0] Total" xfId="983"/>
    <cellStyle name="Comma [00]" xfId="984"/>
    <cellStyle name="Comma [00] 2" xfId="2216"/>
    <cellStyle name="Comma [1]" xfId="985"/>
    <cellStyle name="Comma [1] Total" xfId="986"/>
    <cellStyle name="Comma [1]_060114 BMarkingSummary_aj v3" xfId="987"/>
    <cellStyle name="Comma [2]" xfId="988"/>
    <cellStyle name="Comma [2] Total" xfId="989"/>
    <cellStyle name="Comma [2] Total 2" xfId="2217"/>
    <cellStyle name="Comma [2]_BCE Model 1-8-07" xfId="990"/>
    <cellStyle name="Comma [3]" xfId="991"/>
    <cellStyle name="Comma [3] 2" xfId="2218"/>
    <cellStyle name="Comma 0" xfId="992"/>
    <cellStyle name="Comma 0 2" xfId="2219"/>
    <cellStyle name="Comma 0*" xfId="993"/>
    <cellStyle name="Comma 0* 2" xfId="2220"/>
    <cellStyle name="Comma 10" xfId="2501"/>
    <cellStyle name="Comma 10 2" xfId="2502"/>
    <cellStyle name="Comma 11" xfId="2503"/>
    <cellStyle name="Comma 12" xfId="2504"/>
    <cellStyle name="Comma 13" xfId="2505"/>
    <cellStyle name="Comma 14" xfId="2506"/>
    <cellStyle name="Comma 14 2" xfId="2588"/>
    <cellStyle name="Comma 15" xfId="2507"/>
    <cellStyle name="Comma 15 2" xfId="2589"/>
    <cellStyle name="Comma 2" xfId="6"/>
    <cellStyle name="Comma 2 2" xfId="2508"/>
    <cellStyle name="Comma 2 3" xfId="2509"/>
    <cellStyle name="Comma 2 4" xfId="2590"/>
    <cellStyle name="Comma 2 5" xfId="2626"/>
    <cellStyle name="Comma 2 6" xfId="994"/>
    <cellStyle name="Comma 2*" xfId="995"/>
    <cellStyle name="comma 3" xfId="996"/>
    <cellStyle name="Comma 3 2" xfId="2510"/>
    <cellStyle name="Comma 3 3" xfId="2511"/>
    <cellStyle name="Comma 3 3 2" xfId="2512"/>
    <cellStyle name="Comma 3*" xfId="997"/>
    <cellStyle name="Comma 3* 2" xfId="2221"/>
    <cellStyle name="Comma 4" xfId="998"/>
    <cellStyle name="Comma 4 2" xfId="2513"/>
    <cellStyle name="Comma 4 3" xfId="2"/>
    <cellStyle name="Comma 4 3 2" xfId="2514"/>
    <cellStyle name="Comma 4 3 3" xfId="2482"/>
    <cellStyle name="Comma 4 4" xfId="2592"/>
    <cellStyle name="Comma 5" xfId="2476"/>
    <cellStyle name="Comma 5 2" xfId="2515"/>
    <cellStyle name="Comma 5 2 2" xfId="2516"/>
    <cellStyle name="Comma 5 3" xfId="2593"/>
    <cellStyle name="Comma 6" xfId="2517"/>
    <cellStyle name="Comma 6 2" xfId="2518"/>
    <cellStyle name="Comma 6 2 2" xfId="2519"/>
    <cellStyle name="Comma 7" xfId="2520"/>
    <cellStyle name="Comma 8" xfId="2521"/>
    <cellStyle name="Comma 8 2" xfId="2481"/>
    <cellStyle name="Comma 9" xfId="2522"/>
    <cellStyle name="Comma Cents" xfId="999"/>
    <cellStyle name="comma zerodec" xfId="1000"/>
    <cellStyle name="comma zerodec 2" xfId="2222"/>
    <cellStyle name="Comma*" xfId="1001"/>
    <cellStyle name="Comma, 1 dec" xfId="1002"/>
    <cellStyle name="Comma, 1 dec 2" xfId="2223"/>
    <cellStyle name="Comma0" xfId="1003"/>
    <cellStyle name="Comma0 - Modelo1" xfId="1004"/>
    <cellStyle name="Comma0 - Modelo1 2" xfId="2224"/>
    <cellStyle name="Comma0 - Style1" xfId="1005"/>
    <cellStyle name="Comma0 - Style1 2" xfId="2225"/>
    <cellStyle name="Comma0 2" xfId="2595"/>
    <cellStyle name="Comma0 3" xfId="2591"/>
    <cellStyle name="Comma0 4" xfId="2594"/>
    <cellStyle name="Comma0 5" xfId="2621"/>
    <cellStyle name="Comma0 6" xfId="2620"/>
    <cellStyle name="comma0_BCE Model 1-8-07" xfId="1006"/>
    <cellStyle name="Comma1" xfId="1007"/>
    <cellStyle name="Comma1 - Modelo2" xfId="1008"/>
    <cellStyle name="Comma1 - Modelo2 2" xfId="2227"/>
    <cellStyle name="Comma1 - Style2" xfId="1009"/>
    <cellStyle name="Comma1 - Style2 2" xfId="2228"/>
    <cellStyle name="Comma1 2" xfId="2226"/>
    <cellStyle name="Comma1 3" xfId="2568"/>
    <cellStyle name="Comma1 4" xfId="2557"/>
    <cellStyle name="Comma2" xfId="1010"/>
    <cellStyle name="Comma2 2" xfId="1364"/>
    <cellStyle name="Comma3" xfId="1011"/>
    <cellStyle name="Comma3 2" xfId="2229"/>
    <cellStyle name="CommaKM" xfId="1012"/>
    <cellStyle name="CommaKM 2" xfId="2230"/>
    <cellStyle name="Comma-Rounded" xfId="1013"/>
    <cellStyle name="Comma-Rounded 2" xfId="2231"/>
    <cellStyle name="commas" xfId="1014"/>
    <cellStyle name="commas 2" xfId="2232"/>
    <cellStyle name="Comment" xfId="1015"/>
    <cellStyle name="Comment 2" xfId="2233"/>
    <cellStyle name="Company" xfId="1016"/>
    <cellStyle name="Company 2" xfId="2234"/>
    <cellStyle name="Company Name" xfId="1017"/>
    <cellStyle name="Company Name 2" xfId="2235"/>
    <cellStyle name="CompanyName" xfId="1018"/>
    <cellStyle name="CompanyName 2" xfId="2236"/>
    <cellStyle name="Copied" xfId="1019"/>
    <cellStyle name="Copied 2" xfId="2237"/>
    <cellStyle name="Cost" xfId="1020"/>
    <cellStyle name="Cost 2" xfId="2238"/>
    <cellStyle name="Cover Date" xfId="1021"/>
    <cellStyle name="Cover Date 2" xfId="2239"/>
    <cellStyle name="Cover Subtitle" xfId="1022"/>
    <cellStyle name="Cover Subtitle 2" xfId="2240"/>
    <cellStyle name="Cover Title" xfId="1023"/>
    <cellStyle name="Cover Title 2" xfId="2241"/>
    <cellStyle name="COVERAGE" xfId="1024"/>
    <cellStyle name="COVERAGE 2" xfId="2242"/>
    <cellStyle name="cpmma" xfId="1025"/>
    <cellStyle name="cpmma 2" xfId="2243"/>
    <cellStyle name="Cur" xfId="1026"/>
    <cellStyle name="CurRatio" xfId="1027"/>
    <cellStyle name="CurRatio 2" xfId="2244"/>
    <cellStyle name="Curren - Style5" xfId="2523"/>
    <cellStyle name="Curren - Style6" xfId="2524"/>
    <cellStyle name="Curren - Style7" xfId="2525"/>
    <cellStyle name="Curren - Style8" xfId="2526"/>
    <cellStyle name="Currency ($)" xfId="1028"/>
    <cellStyle name="Currency ($) 2" xfId="2245"/>
    <cellStyle name="Currency (£)" xfId="1029"/>
    <cellStyle name="Currency (£) 2" xfId="2246"/>
    <cellStyle name="Currency (€)" xfId="1030"/>
    <cellStyle name="Currency (€) 2" xfId="2247"/>
    <cellStyle name="Currency [0] Total" xfId="1031"/>
    <cellStyle name="Currency [0] Total 2" xfId="2248"/>
    <cellStyle name="Currency [00]" xfId="1032"/>
    <cellStyle name="Currency [00] 2" xfId="2249"/>
    <cellStyle name="Currency [1]" xfId="1033"/>
    <cellStyle name="Currency [1] 2" xfId="2250"/>
    <cellStyle name="Currency [1] Total" xfId="1034"/>
    <cellStyle name="Currency [1] Total 2" xfId="2251"/>
    <cellStyle name="Currency [1]_BCE Model 1-8-07" xfId="1035"/>
    <cellStyle name="Currency [2]" xfId="1036"/>
    <cellStyle name="Currency [2] 2" xfId="1365"/>
    <cellStyle name="Currency [2] Total" xfId="1037"/>
    <cellStyle name="Currency [2]_BCE Model 1-8-07" xfId="1038"/>
    <cellStyle name="Currency [3]" xfId="1039"/>
    <cellStyle name="Currency [3] 2" xfId="2252"/>
    <cellStyle name="Currency [per_share]" xfId="1040"/>
    <cellStyle name="Currency 0" xfId="1041"/>
    <cellStyle name="Currency 0 2" xfId="2253"/>
    <cellStyle name="Currency 0.0" xfId="1042"/>
    <cellStyle name="Currency 0.0 2" xfId="2254"/>
    <cellStyle name="Currency 0.0 2 2" xfId="2630"/>
    <cellStyle name="Currency 0.0 3" xfId="2637"/>
    <cellStyle name="currency 1" xfId="1043"/>
    <cellStyle name="Currency 2" xfId="1044"/>
    <cellStyle name="Currency 2 2" xfId="2255"/>
    <cellStyle name="Currency 2 3" xfId="2597"/>
    <cellStyle name="Currency 2 Total" xfId="1045"/>
    <cellStyle name="Currency 2*" xfId="1046"/>
    <cellStyle name="Currency 2_!MiniCombo_v081(vclk)" xfId="1047"/>
    <cellStyle name="Currency 3" xfId="2527"/>
    <cellStyle name="Currency 3*" xfId="1048"/>
    <cellStyle name="Currency 3* 2" xfId="2256"/>
    <cellStyle name="Currency Input" xfId="1049"/>
    <cellStyle name="Currency*" xfId="1050"/>
    <cellStyle name="Currency0" xfId="1051"/>
    <cellStyle name="Currency0 2" xfId="2258"/>
    <cellStyle name="Currency0 3" xfId="2598"/>
    <cellStyle name="Currency1" xfId="1052"/>
    <cellStyle name="Currency1 2" xfId="2259"/>
    <cellStyle name="Currency1Blue" xfId="1053"/>
    <cellStyle name="Currency1Blue 2" xfId="2260"/>
    <cellStyle name="Currency2" xfId="1054"/>
    <cellStyle name="Currency2 2" xfId="2261"/>
    <cellStyle name="Currency3" xfId="1055"/>
    <cellStyle name="Currency3 2" xfId="2262"/>
    <cellStyle name="Currency-Rounded" xfId="1056"/>
    <cellStyle name="Currency-Rounded 2" xfId="2263"/>
    <cellStyle name="currencyt 0" xfId="1057"/>
    <cellStyle name="currencyt 0 2" xfId="2264"/>
    <cellStyle name="Currsmall" xfId="1058"/>
    <cellStyle name="d" xfId="1059"/>
    <cellStyle name="d 2" xfId="2265"/>
    <cellStyle name="d_101306 CanWest Excel BAck up v14" xfId="1060"/>
    <cellStyle name="d_101306 CanWest Excel BAck up v14 2" xfId="2266"/>
    <cellStyle name="d_BCE Model 1-8-07" xfId="1061"/>
    <cellStyle name="d_BCE Model 1-8-07 2" xfId="2267"/>
    <cellStyle name="d_Eutelsat and Capex Analysis" xfId="1062"/>
    <cellStyle name="d_Eutelsat and Capex Analysis 2" xfId="2268"/>
    <cellStyle name="d_Ford DCF 072101" xfId="1063"/>
    <cellStyle name="d_Ford DCF 072101 2" xfId="2269"/>
    <cellStyle name="d_yield" xfId="1064"/>
    <cellStyle name="d_yield 2" xfId="2270"/>
    <cellStyle name="d_yield_101306 CanWest Excel BAck up v14" xfId="1065"/>
    <cellStyle name="d_yield_101306 CanWest Excel BAck up v14 2" xfId="2271"/>
    <cellStyle name="d_yield_ILEC LBO" xfId="1066"/>
    <cellStyle name="d_yield_ILEC LBO 2" xfId="2272"/>
    <cellStyle name="d_yield_Sheet1" xfId="1067"/>
    <cellStyle name="d_yield_Sheet1 2" xfId="2273"/>
    <cellStyle name="Dash" xfId="1068"/>
    <cellStyle name="Dash 2" xfId="2274"/>
    <cellStyle name="data" xfId="1069"/>
    <cellStyle name="data 2" xfId="2275"/>
    <cellStyle name="Data Link" xfId="1070"/>
    <cellStyle name="data_FS" xfId="1071"/>
    <cellStyle name="Date" xfId="1072"/>
    <cellStyle name="Date (d/mm/yy)" xfId="1073"/>
    <cellStyle name="Date (d/mm/yy) 2" xfId="2276"/>
    <cellStyle name="Date (d-mm-yy)" xfId="1074"/>
    <cellStyle name="Date (Full)" xfId="1075"/>
    <cellStyle name="Date (Full) 2" xfId="2277"/>
    <cellStyle name="Date [Abbreviated]" xfId="1076"/>
    <cellStyle name="Date [Abbreviated] 2" xfId="2278"/>
    <cellStyle name="Date [D-M-Y]" xfId="1077"/>
    <cellStyle name="Date [D-M-Y] 2" xfId="2279"/>
    <cellStyle name="Date [Long Europe]" xfId="1078"/>
    <cellStyle name="Date [Long Europe] 2" xfId="2280"/>
    <cellStyle name="Date [Long U.S.]" xfId="1079"/>
    <cellStyle name="Date [Long U.S.] 2" xfId="2281"/>
    <cellStyle name="Date [M/D/Y]" xfId="1080"/>
    <cellStyle name="Date [M/D/Y] 2" xfId="2282"/>
    <cellStyle name="Date [M/Y]" xfId="1081"/>
    <cellStyle name="Date [M/Y] 2" xfId="2283"/>
    <cellStyle name="Date [mmm-yy]" xfId="1082"/>
    <cellStyle name="Date [M-Y]" xfId="1083"/>
    <cellStyle name="Date [M-Y] 2" xfId="2284"/>
    <cellStyle name="Date [Short Europe]" xfId="1084"/>
    <cellStyle name="Date [Short Europe] 2" xfId="2285"/>
    <cellStyle name="Date [Short U.S.]" xfId="1085"/>
    <cellStyle name="Date [Short U.S.] 2" xfId="2286"/>
    <cellStyle name="Date 2" xfId="2599"/>
    <cellStyle name="Date 3" xfId="2584"/>
    <cellStyle name="Date 4" xfId="2596"/>
    <cellStyle name="Date 5" xfId="2622"/>
    <cellStyle name="Date 6" xfId="2619"/>
    <cellStyle name="Date Aligned" xfId="1086"/>
    <cellStyle name="Date Aligned 2" xfId="2287"/>
    <cellStyle name="Date Aligned*" xfId="1087"/>
    <cellStyle name="Date Aligned* 2" xfId="2288"/>
    <cellStyle name="Date Day" xfId="1088"/>
    <cellStyle name="Date Short" xfId="1089"/>
    <cellStyle name="Date Year" xfId="1090"/>
    <cellStyle name="Date Year 2" xfId="2289"/>
    <cellStyle name="Date_060114 BMarkingSummary_aj v3" xfId="1091"/>
    <cellStyle name="Date1" xfId="1092"/>
    <cellStyle name="date2" xfId="1093"/>
    <cellStyle name="date2 2" xfId="1366"/>
    <cellStyle name="date2 2 2" xfId="2466"/>
    <cellStyle name="date2 3" xfId="2290"/>
    <cellStyle name="date3" xfId="1094"/>
    <cellStyle name="Dates" xfId="1095"/>
    <cellStyle name="DateYear" xfId="1096"/>
    <cellStyle name="DateYear 2" xfId="2291"/>
    <cellStyle name="DateYearEstimate" xfId="1097"/>
    <cellStyle name="DateYearWholeEstimate" xfId="1098"/>
    <cellStyle name="DateYearWholeEstimate 2" xfId="2292"/>
    <cellStyle name="Days.0" xfId="1099"/>
    <cellStyle name="Days.0 2" xfId="2293"/>
    <cellStyle name="Days.1" xfId="1100"/>
    <cellStyle name="Days.1 2" xfId="2294"/>
    <cellStyle name="DblLineDollarAcct" xfId="1101"/>
    <cellStyle name="DblLinePercent" xfId="1102"/>
    <cellStyle name="DblLinePercent 2" xfId="2296"/>
    <cellStyle name="ddate" xfId="1103"/>
    <cellStyle name="Decimal" xfId="1104"/>
    <cellStyle name="Decimal 2" xfId="2297"/>
    <cellStyle name="default" xfId="1105"/>
    <cellStyle name="default 2" xfId="2298"/>
    <cellStyle name="Detail" xfId="1106"/>
    <cellStyle name="Deutschmark" xfId="1107"/>
    <cellStyle name="Deutschmark 2" xfId="2299"/>
    <cellStyle name="Dezimal__Utopia Index Index und Guidance (Deutsch)" xfId="1108"/>
    <cellStyle name="Dia" xfId="1109"/>
    <cellStyle name="Dia 2" xfId="2300"/>
    <cellStyle name="DIANE" xfId="1110"/>
    <cellStyle name="dolar" xfId="1111"/>
    <cellStyle name="dolar 2" xfId="2301"/>
    <cellStyle name="dolar whole" xfId="1112"/>
    <cellStyle name="dolar_ATT LBO Model 07-02-04v1" xfId="1113"/>
    <cellStyle name="Dollar" xfId="1114"/>
    <cellStyle name="Dollar - Style5" xfId="1115"/>
    <cellStyle name="Dollar - Style5 2" xfId="2302"/>
    <cellStyle name="Dollar (Canadian)" xfId="1116"/>
    <cellStyle name="Dollar (Canadian) 2" xfId="2303"/>
    <cellStyle name="Dollar (zero dec)" xfId="1117"/>
    <cellStyle name="Dollar (zero dec) 2" xfId="2304"/>
    <cellStyle name="Dollar Whole" xfId="1118"/>
    <cellStyle name="dollar_051129 DCF Summary" xfId="1119"/>
    <cellStyle name="Dollar1" xfId="1120"/>
    <cellStyle name="Dollar1Blue" xfId="1121"/>
    <cellStyle name="Dollar2" xfId="1122"/>
    <cellStyle name="DollarAccounting" xfId="1123"/>
    <cellStyle name="Dollars" xfId="1124"/>
    <cellStyle name="DollarWhole" xfId="1125"/>
    <cellStyle name="Doller" xfId="1126"/>
    <cellStyle name="Doller 2" xfId="2305"/>
    <cellStyle name="Dotted Line" xfId="1127"/>
    <cellStyle name="Dotted Line 2" xfId="2306"/>
    <cellStyle name="Double Accounting" xfId="1128"/>
    <cellStyle name="Double Underline" xfId="1129"/>
    <cellStyle name="Double Underline 2" xfId="2307"/>
    <cellStyle name="Download" xfId="1130"/>
    <cellStyle name="Download 2" xfId="2308"/>
    <cellStyle name="dp*NumberGeneral" xfId="1131"/>
    <cellStyle name="dp*NumberGeneral 2" xfId="2309"/>
    <cellStyle name="Driver" xfId="1132"/>
    <cellStyle name="Driver 2" xfId="2310"/>
    <cellStyle name="Emphasis 1" xfId="2528"/>
    <cellStyle name="Emphasis 2" xfId="2529"/>
    <cellStyle name="Emphasis 3" xfId="2530"/>
    <cellStyle name="Encabez1" xfId="1133"/>
    <cellStyle name="Encabez1 2" xfId="2311"/>
    <cellStyle name="Encabez2" xfId="1134"/>
    <cellStyle name="Encabez2 2" xfId="2312"/>
    <cellStyle name="Enter Currency (0)" xfId="1135"/>
    <cellStyle name="Enter Currency (0) 2" xfId="2313"/>
    <cellStyle name="Enter Currency (2)" xfId="1136"/>
    <cellStyle name="Enter Currency (2) 2" xfId="2314"/>
    <cellStyle name="Enter Units (0)" xfId="1137"/>
    <cellStyle name="Enter Units (0) 2" xfId="2315"/>
    <cellStyle name="Enter Units (1)" xfId="1138"/>
    <cellStyle name="Enter Units (1) 2" xfId="2316"/>
    <cellStyle name="Enter Units (2)" xfId="1139"/>
    <cellStyle name="Enter Units (2) 2" xfId="2317"/>
    <cellStyle name="Entered" xfId="1140"/>
    <cellStyle name="Entered 2" xfId="2318"/>
    <cellStyle name="Entries" xfId="1141"/>
    <cellStyle name="Entries 2" xfId="1367"/>
    <cellStyle name="eps" xfId="1142"/>
    <cellStyle name="eps 2" xfId="2319"/>
    <cellStyle name="eps$" xfId="1143"/>
    <cellStyle name="eps$ 2" xfId="2320"/>
    <cellStyle name="eps$A" xfId="1144"/>
    <cellStyle name="eps$A 2" xfId="2321"/>
    <cellStyle name="eps$E" xfId="1145"/>
    <cellStyle name="eps$E 2" xfId="2322"/>
    <cellStyle name="epsA" xfId="1146"/>
    <cellStyle name="epsA 2" xfId="2323"/>
    <cellStyle name="EPSActual" xfId="1147"/>
    <cellStyle name="EPSActual 2" xfId="2324"/>
    <cellStyle name="epsE" xfId="1148"/>
    <cellStyle name="epsE 2" xfId="2325"/>
    <cellStyle name="EPSEstimate" xfId="1149"/>
    <cellStyle name="EPSEstimate 2" xfId="2326"/>
    <cellStyle name="Est - $" xfId="1150"/>
    <cellStyle name="Est - %" xfId="1151"/>
    <cellStyle name="Est - % 2" xfId="2327"/>
    <cellStyle name="Est 0,000.0" xfId="1152"/>
    <cellStyle name="Est 0,000.0 2" xfId="2328"/>
    <cellStyle name="Estimate" xfId="1153"/>
    <cellStyle name="Euro" xfId="1154"/>
    <cellStyle name="Euro-" xfId="1155"/>
    <cellStyle name="Euro 2" xfId="2601"/>
    <cellStyle name="Euro 3" xfId="2583"/>
    <cellStyle name="Euro 4" xfId="2600"/>
    <cellStyle name="Euro 5" xfId="2623"/>
    <cellStyle name="Euro 6" xfId="2618"/>
    <cellStyle name="External File Cells" xfId="1156"/>
    <cellStyle name="External File Cells 2" xfId="2329"/>
    <cellStyle name="EY0dp" xfId="1157"/>
    <cellStyle name="EY0dp 2" xfId="2330"/>
    <cellStyle name="F2" xfId="1158"/>
    <cellStyle name="F2 2" xfId="2331"/>
    <cellStyle name="F3" xfId="1159"/>
    <cellStyle name="F3 2" xfId="2332"/>
    <cellStyle name="F4" xfId="1160"/>
    <cellStyle name="F4 2" xfId="2333"/>
    <cellStyle name="F5" xfId="1161"/>
    <cellStyle name="F5 2" xfId="2334"/>
    <cellStyle name="F6" xfId="1162"/>
    <cellStyle name="F6 2" xfId="2335"/>
    <cellStyle name="F7" xfId="1163"/>
    <cellStyle name="F7 2" xfId="2336"/>
    <cellStyle name="F8" xfId="1164"/>
    <cellStyle name="F8 2" xfId="2337"/>
    <cellStyle name="FeedData" xfId="2531"/>
    <cellStyle name="FF_EURO" xfId="1165"/>
    <cellStyle name="FieldName" xfId="1166"/>
    <cellStyle name="Fijo" xfId="1167"/>
    <cellStyle name="Fijo 2" xfId="2338"/>
    <cellStyle name="Finan?ní0" xfId="1168"/>
    <cellStyle name="Financiero" xfId="1169"/>
    <cellStyle name="Financiero 2" xfId="2339"/>
    <cellStyle name="Fixed" xfId="1170"/>
    <cellStyle name="Fixed 2" xfId="2602"/>
    <cellStyle name="Fixed0" xfId="1171"/>
    <cellStyle name="Fixlong" xfId="1172"/>
    <cellStyle name="Fixlong 2" xfId="2340"/>
    <cellStyle name="Footer SBILogo1" xfId="1173"/>
    <cellStyle name="Footer SBILogo1 2" xfId="2341"/>
    <cellStyle name="Footer SBILogo2" xfId="1174"/>
    <cellStyle name="Footer SBILogo2 2" xfId="2342"/>
    <cellStyle name="Footnote" xfId="1175"/>
    <cellStyle name="Footnote 2" xfId="2343"/>
    <cellStyle name="Footnote Reference" xfId="1176"/>
    <cellStyle name="Footnote Reference 2" xfId="2344"/>
    <cellStyle name="Footnote_% Change" xfId="1177"/>
    <cellStyle name="Footnotes" xfId="1178"/>
    <cellStyle name="Footnotes 2" xfId="2345"/>
    <cellStyle name="Forecast Cells" xfId="1179"/>
    <cellStyle name="Format ($)" xfId="1180"/>
    <cellStyle name="Format ($) 2" xfId="2346"/>
    <cellStyle name="Format (no $ no underline)" xfId="1181"/>
    <cellStyle name="Format (no $ no underline) 2" xfId="2347"/>
    <cellStyle name="Format (no $ underline)" xfId="1182"/>
    <cellStyle name="Format (no $ underline) 2" xfId="2348"/>
    <cellStyle name="Format (no $)" xfId="1183"/>
    <cellStyle name="Format underline (no $)" xfId="1184"/>
    <cellStyle name="Formula" xfId="1185"/>
    <cellStyle name="Formula 2" xfId="1368"/>
    <cellStyle name="Formula 2 2" xfId="2467"/>
    <cellStyle name="Formula 3" xfId="2349"/>
    <cellStyle name="fourdecplace" xfId="1186"/>
    <cellStyle name="fourdecplace 2" xfId="2350"/>
    <cellStyle name="Fraction" xfId="1187"/>
    <cellStyle name="Fraction ($)" xfId="1188"/>
    <cellStyle name="Fraction [8]" xfId="1189"/>
    <cellStyle name="Fraction [8] 2" xfId="2352"/>
    <cellStyle name="Fraction [Bl]" xfId="1190"/>
    <cellStyle name="Fraction [Bl] 2" xfId="2353"/>
    <cellStyle name="Fraction 2" xfId="2351"/>
    <cellStyle name="Fraction 3" xfId="2570"/>
    <cellStyle name="Fraction 4" xfId="2257"/>
    <cellStyle name="French Francs" xfId="1191"/>
    <cellStyle name="fy_eps$" xfId="1192"/>
    <cellStyle name="g_rate" xfId="1193"/>
    <cellStyle name="g_rate 2" xfId="2354"/>
    <cellStyle name="g_rate_101306 CanWest Excel BAck up v14" xfId="1194"/>
    <cellStyle name="g_rate_101306 CanWest Excel BAck up v14 2" xfId="2355"/>
    <cellStyle name="g_rate_ILEC LBO" xfId="1195"/>
    <cellStyle name="g_rate_ILEC LBO 2" xfId="2356"/>
    <cellStyle name="G02 Table Text" xfId="1196"/>
    <cellStyle name="G04_Main head" xfId="1197"/>
    <cellStyle name="G05 Tab Head Bold" xfId="1198"/>
    <cellStyle name="G05 Tab Head Light" xfId="1199"/>
    <cellStyle name="G1_1999 figures" xfId="1200"/>
    <cellStyle name="General" xfId="1201"/>
    <cellStyle name="General [C]" xfId="1202"/>
    <cellStyle name="General [C] 2" xfId="2358"/>
    <cellStyle name="General [R]" xfId="1203"/>
    <cellStyle name="General [R] 2" xfId="2359"/>
    <cellStyle name="General 2" xfId="2357"/>
    <cellStyle name="General 3" xfId="2572"/>
    <cellStyle name="General 4" xfId="2295"/>
    <cellStyle name="General_060114 BMarkingSummary_aj v3" xfId="1204"/>
    <cellStyle name="Grand" xfId="1205"/>
    <cellStyle name="Grand Total" xfId="1206"/>
    <cellStyle name="Grand Total 2" xfId="1369"/>
    <cellStyle name="Green" xfId="1207"/>
    <cellStyle name="Green 2" xfId="2361"/>
    <cellStyle name="Grey" xfId="1208"/>
    <cellStyle name="GROSS" xfId="1209"/>
    <cellStyle name="GROSS 2" xfId="2362"/>
    <cellStyle name="Group Headings" xfId="1210"/>
    <cellStyle name="Group Headings 2" xfId="2363"/>
    <cellStyle name="Group Headings 2 2" xfId="2629"/>
    <cellStyle name="Group Headings 3" xfId="2633"/>
    <cellStyle name="growth" xfId="1211"/>
    <cellStyle name="growth 2" xfId="2364"/>
    <cellStyle name="Growth%" xfId="1212"/>
    <cellStyle name="Growth% 2" xfId="2365"/>
    <cellStyle name="GrowthLarge" xfId="1213"/>
    <cellStyle name="GrowthRate" xfId="1214"/>
    <cellStyle name="GrowthRate 2" xfId="2367"/>
    <cellStyle name="GrowthSeq" xfId="1215"/>
    <cellStyle name="GrowthSeq 2" xfId="2368"/>
    <cellStyle name="GrowthSmall" xfId="1216"/>
    <cellStyle name="GrowthSmall 2" xfId="2369"/>
    <cellStyle name="GS Table Header" xfId="1217"/>
    <cellStyle name="GS Table Header 2" xfId="2370"/>
    <cellStyle name="H 2" xfId="1218"/>
    <cellStyle name="H 2 2" xfId="2371"/>
    <cellStyle name="H_1998_col_head" xfId="1219"/>
    <cellStyle name="H_1999_col_head" xfId="1220"/>
    <cellStyle name="H1_1998 figures" xfId="1221"/>
    <cellStyle name="hard no" xfId="1222"/>
    <cellStyle name="hard no 2" xfId="1370"/>
    <cellStyle name="hard no 2 2" xfId="2468"/>
    <cellStyle name="hard no 3" xfId="2372"/>
    <cellStyle name="hard no." xfId="1223"/>
    <cellStyle name="hard no. 2" xfId="1371"/>
    <cellStyle name="hard no. 2 2" xfId="2469"/>
    <cellStyle name="hard no. 3" xfId="2373"/>
    <cellStyle name="Hard Percent" xfId="1224"/>
    <cellStyle name="Hard Percent 2" xfId="2374"/>
    <cellStyle name="hardno" xfId="1225"/>
    <cellStyle name="hardno 2" xfId="2375"/>
    <cellStyle name="head1" xfId="1226"/>
    <cellStyle name="head1 2" xfId="2376"/>
    <cellStyle name="Head12" xfId="1227"/>
    <cellStyle name="Head12 2" xfId="2377"/>
    <cellStyle name="head2" xfId="1228"/>
    <cellStyle name="head2 2" xfId="2378"/>
    <cellStyle name="Header" xfId="1229"/>
    <cellStyle name="Header 2" xfId="2379"/>
    <cellStyle name="Header 3" xfId="2603"/>
    <cellStyle name="Header Draft Stamp" xfId="1230"/>
    <cellStyle name="Header Draft Stamp 2" xfId="2380"/>
    <cellStyle name="Header_% Change" xfId="1231"/>
    <cellStyle name="Header1" xfId="1232"/>
    <cellStyle name="Header1 2" xfId="2381"/>
    <cellStyle name="Header2" xfId="1233"/>
    <cellStyle name="Header2 2" xfId="2382"/>
    <cellStyle name="headers" xfId="1234"/>
    <cellStyle name="headers 2" xfId="2383"/>
    <cellStyle name="Headin - Style6" xfId="1235"/>
    <cellStyle name="Headin - Style6 2" xfId="2384"/>
    <cellStyle name="heading" xfId="1236"/>
    <cellStyle name="Heading 1 2" xfId="1373"/>
    <cellStyle name="Heading 1 2 2" xfId="2471"/>
    <cellStyle name="Heading 1 Above" xfId="1237"/>
    <cellStyle name="Heading 1 Above 2" xfId="2386"/>
    <cellStyle name="Heading 1+" xfId="1238"/>
    <cellStyle name="Heading 1+ 2" xfId="2387"/>
    <cellStyle name="Heading 1+ 2 2" xfId="2628"/>
    <cellStyle name="Heading 1+ 3" xfId="2632"/>
    <cellStyle name="Heading 2 Below" xfId="1239"/>
    <cellStyle name="Heading 2 Below 2" xfId="2388"/>
    <cellStyle name="heading 5" xfId="2385"/>
    <cellStyle name="heading 6" xfId="2575"/>
    <cellStyle name="heading 7" xfId="2360"/>
    <cellStyle name="Hyperlink 2" xfId="2475"/>
    <cellStyle name="Hyperlink 2 2" xfId="2532"/>
    <cellStyle name="Hyperlink 2 3" xfId="2604"/>
    <cellStyle name="Hyperlink 3" xfId="2533"/>
    <cellStyle name="Hyperlink 4" xfId="2534"/>
    <cellStyle name="Hyperlink 5" xfId="2535"/>
    <cellStyle name="Hyperlink 6" xfId="2536"/>
    <cellStyle name="Item Descriptions" xfId="1240"/>
    <cellStyle name="Item Descriptions - Bold" xfId="1241"/>
    <cellStyle name="Item Descriptions - Bold 2" xfId="2390"/>
    <cellStyle name="Item Descriptions 2" xfId="2389"/>
    <cellStyle name="Item Descriptions 3" xfId="2576"/>
    <cellStyle name="Item Descriptions 4" xfId="2366"/>
    <cellStyle name="Lable8Left" xfId="1242"/>
    <cellStyle name="Line" xfId="1243"/>
    <cellStyle name="Line 2" xfId="2391"/>
    <cellStyle name="mult" xfId="1244"/>
    <cellStyle name="Multiple" xfId="1245"/>
    <cellStyle name="Multiple [0]" xfId="1246"/>
    <cellStyle name="Multiple [1]" xfId="1247"/>
    <cellStyle name="Multiple_Copy of IB_Pics v1.9 (DCF)" xfId="1248"/>
    <cellStyle name="Normal" xfId="0" builtinId="0"/>
    <cellStyle name="Normal - Style1" xfId="1249"/>
    <cellStyle name="Normal 10" xfId="1374"/>
    <cellStyle name="Normal 11" xfId="2537"/>
    <cellStyle name="Normal 12" xfId="2451"/>
    <cellStyle name="Normal 13" xfId="8"/>
    <cellStyle name="Normal 13 2" xfId="1375"/>
    <cellStyle name="Normal 14" xfId="2574"/>
    <cellStyle name="Normal 15" xfId="2579"/>
    <cellStyle name="Normal 16" xfId="2614"/>
    <cellStyle name="Normal 17" xfId="2615"/>
    <cellStyle name="Normal 18" xfId="2616"/>
    <cellStyle name="Normal 19" xfId="2625"/>
    <cellStyle name="Normal 2" xfId="1"/>
    <cellStyle name="Normal 2 2" xfId="1251"/>
    <cellStyle name="Normal 2 2 2" xfId="3"/>
    <cellStyle name="Normal 2 2 2 2" xfId="2479"/>
    <cellStyle name="Normal 2 2 2 3" xfId="2473"/>
    <cellStyle name="Normal 2 2 3" xfId="2393"/>
    <cellStyle name="Normal 2 2 4" xfId="2580"/>
    <cellStyle name="Normal 2 3" xfId="2477"/>
    <cellStyle name="Normal 2 4" xfId="2392"/>
    <cellStyle name="Normal 2 5" xfId="1250"/>
    <cellStyle name="Normal 3" xfId="1252"/>
    <cellStyle name="Normal 3 2" xfId="2538"/>
    <cellStyle name="Normal 3 3" xfId="2394"/>
    <cellStyle name="Normal 4" xfId="1253"/>
    <cellStyle name="Normal 4 2" xfId="4"/>
    <cellStyle name="Normal 4 2 2" xfId="2606"/>
    <cellStyle name="Normal 4 2 3" xfId="2472"/>
    <cellStyle name="Normal 4 3" xfId="2395"/>
    <cellStyle name="Normal 5" xfId="2478"/>
    <cellStyle name="Normal 5 2" xfId="2607"/>
    <cellStyle name="Normal 6" xfId="2539"/>
    <cellStyle name="Normal 6 2" xfId="2608"/>
    <cellStyle name="Normal 7" xfId="2540"/>
    <cellStyle name="Normal 7 2" xfId="2609"/>
    <cellStyle name="Normal 8" xfId="2541"/>
    <cellStyle name="Normal 8 2" xfId="2610"/>
    <cellStyle name="Normal 9" xfId="2542"/>
    <cellStyle name="Num1" xfId="1254"/>
    <cellStyle name="Num1Blue" xfId="1255"/>
    <cellStyle name="num1Style" xfId="1256"/>
    <cellStyle name="Num2" xfId="1257"/>
    <cellStyle name="num4Style" xfId="1258"/>
    <cellStyle name="number" xfId="2543"/>
    <cellStyle name="number 2" xfId="2544"/>
    <cellStyle name="number(0)" xfId="2545"/>
    <cellStyle name="number(2)" xfId="2546"/>
    <cellStyle name="number_3 Stage_FCFF_Valuation_bb_v15" xfId="2547"/>
    <cellStyle name="Numbers" xfId="1259"/>
    <cellStyle name="Numbers - Bold" xfId="1260"/>
    <cellStyle name="Numbers - Bold - Italic" xfId="1261"/>
    <cellStyle name="Numbers - Bold - Italic 2" xfId="2398"/>
    <cellStyle name="Numbers - Bold 2" xfId="2397"/>
    <cellStyle name="Numbers - Bold 3" xfId="2578"/>
    <cellStyle name="Numbers - Bold 4" xfId="2403"/>
    <cellStyle name="Numbers - Bold_WACC2" xfId="1262"/>
    <cellStyle name="Numbers - Large" xfId="1263"/>
    <cellStyle name="Numbers - Large 2" xfId="2399"/>
    <cellStyle name="Numbers 2" xfId="2396"/>
    <cellStyle name="Numbers 3" xfId="2577"/>
    <cellStyle name="Numbers 4" xfId="2402"/>
    <cellStyle name="Numbers_Comps" xfId="1264"/>
    <cellStyle name="Outline Grey" xfId="2548"/>
    <cellStyle name="Page Heading Large" xfId="1265"/>
    <cellStyle name="Page Heading Large 2" xfId="2400"/>
    <cellStyle name="Page Heading Small" xfId="1266"/>
    <cellStyle name="Page Heading Small 2" xfId="2401"/>
    <cellStyle name="Page Number" xfId="1267"/>
    <cellStyle name="pct_sub" xfId="1268"/>
    <cellStyle name="Pctg" xfId="1269"/>
    <cellStyle name="Percent" xfId="7" builtinId="5"/>
    <cellStyle name="Percent [0]" xfId="1270"/>
    <cellStyle name="Percent [1]" xfId="1271"/>
    <cellStyle name="Percent 2" xfId="1272"/>
    <cellStyle name="Percent 2 2" xfId="5"/>
    <cellStyle name="Percent 2 2 2" xfId="2549"/>
    <cellStyle name="Percent 2 3" xfId="2611"/>
    <cellStyle name="Percent 3" xfId="2474"/>
    <cellStyle name="Percent 3 2" xfId="2480"/>
    <cellStyle name="Percent 4" xfId="2550"/>
    <cellStyle name="Percent 4 2" xfId="2551"/>
    <cellStyle name="Percent 4 2 2" xfId="2612"/>
    <cellStyle name="Percent Hard" xfId="1273"/>
    <cellStyle name="Percent(2)" xfId="2552"/>
    <cellStyle name="Percent1" xfId="1274"/>
    <cellStyle name="Percent1Blue" xfId="1275"/>
    <cellStyle name="Percent2" xfId="1276"/>
    <cellStyle name="Percent2Blue" xfId="1277"/>
    <cellStyle name="RED" xfId="2553"/>
    <cellStyle name="Shaded" xfId="1278"/>
    <cellStyle name="Shaded 2" xfId="2404"/>
    <cellStyle name="Sheet Title" xfId="2554"/>
    <cellStyle name="Single Accounting" xfId="1279"/>
    <cellStyle name="Style 1" xfId="1280"/>
    <cellStyle name="Style 1 2" xfId="2405"/>
    <cellStyle name="Style 1 3" xfId="2613"/>
    <cellStyle name="Style 10" xfId="1281"/>
    <cellStyle name="Style 10 2" xfId="2406"/>
    <cellStyle name="Style 2" xfId="1282"/>
    <cellStyle name="Style 2 2" xfId="2407"/>
    <cellStyle name="Style 21" xfId="1283"/>
    <cellStyle name="Style 21 2" xfId="2408"/>
    <cellStyle name="Style 22" xfId="1284"/>
    <cellStyle name="Style 22 2" xfId="2409"/>
    <cellStyle name="Style 23" xfId="1285"/>
    <cellStyle name="Style 23 2" xfId="2410"/>
    <cellStyle name="Style 24" xfId="1286"/>
    <cellStyle name="Style 24 2" xfId="2411"/>
    <cellStyle name="Style 25" xfId="1287"/>
    <cellStyle name="Style 25 2" xfId="2412"/>
    <cellStyle name="Style 26" xfId="1288"/>
    <cellStyle name="Style 26 2" xfId="2413"/>
    <cellStyle name="Style 27" xfId="1289"/>
    <cellStyle name="Style 27 2" xfId="2414"/>
    <cellStyle name="Style 28" xfId="1290"/>
    <cellStyle name="Style 28 2" xfId="2415"/>
    <cellStyle name="Style 29" xfId="1291"/>
    <cellStyle name="Style 3" xfId="1292"/>
    <cellStyle name="Style 3 2" xfId="2416"/>
    <cellStyle name="Style 30" xfId="1293"/>
    <cellStyle name="Style 31" xfId="1294"/>
    <cellStyle name="Style 31 2" xfId="2417"/>
    <cellStyle name="Style 32" xfId="1295"/>
    <cellStyle name="Style 32 2" xfId="2418"/>
    <cellStyle name="Style 33" xfId="1296"/>
    <cellStyle name="Style 34" xfId="1297"/>
    <cellStyle name="Style 35" xfId="1298"/>
    <cellStyle name="Style 36" xfId="1299"/>
    <cellStyle name="Style 37" xfId="1300"/>
    <cellStyle name="Style 38" xfId="1301"/>
    <cellStyle name="Style 39" xfId="1302"/>
    <cellStyle name="Style 4" xfId="1303"/>
    <cellStyle name="Style 4 2" xfId="2420"/>
    <cellStyle name="Style 40" xfId="1304"/>
    <cellStyle name="Style 41" xfId="1305"/>
    <cellStyle name="Style 42" xfId="1306"/>
    <cellStyle name="Style 42 2" xfId="2421"/>
    <cellStyle name="Style 43" xfId="1307"/>
    <cellStyle name="Style 43 2" xfId="2422"/>
    <cellStyle name="Style 44" xfId="1308"/>
    <cellStyle name="Style 44 2" xfId="2423"/>
    <cellStyle name="Style 45" xfId="1309"/>
    <cellStyle name="Style 46" xfId="1310"/>
    <cellStyle name="Style 46 2" xfId="2424"/>
    <cellStyle name="Style 47" xfId="1311"/>
    <cellStyle name="Style 47 2" xfId="2425"/>
    <cellStyle name="Style 5" xfId="1312"/>
    <cellStyle name="Style 5 2" xfId="2426"/>
    <cellStyle name="Style 6" xfId="1313"/>
    <cellStyle name="Style 6 2" xfId="2427"/>
    <cellStyle name="Style 7" xfId="1314"/>
    <cellStyle name="Style 7 2" xfId="2428"/>
    <cellStyle name="Style 70" xfId="1315"/>
    <cellStyle name="Style 70 2" xfId="2429"/>
    <cellStyle name="Style 8" xfId="1316"/>
    <cellStyle name="Style 8 2" xfId="2430"/>
    <cellStyle name="Style 80" xfId="1317"/>
    <cellStyle name="Style 80 2" xfId="2431"/>
    <cellStyle name="Style 86" xfId="1318"/>
    <cellStyle name="Style 86 2" xfId="2432"/>
    <cellStyle name="Style 9" xfId="1319"/>
    <cellStyle name="Style 9 2" xfId="2433"/>
    <cellStyle name="Style 92" xfId="1320"/>
    <cellStyle name="Style 92 2" xfId="2434"/>
    <cellStyle name="Table Col Head" xfId="1321"/>
    <cellStyle name="Table Col Head 2" xfId="2435"/>
    <cellStyle name="Table Head" xfId="1322"/>
    <cellStyle name="Table Head 2" xfId="2436"/>
    <cellStyle name="Table Head Aligned" xfId="1323"/>
    <cellStyle name="Table Head Aligned 2" xfId="2437"/>
    <cellStyle name="Table Head Blue" xfId="1324"/>
    <cellStyle name="Table Head Blue 2" xfId="2438"/>
    <cellStyle name="Table Head Green" xfId="1325"/>
    <cellStyle name="Table Head Green 2" xfId="2439"/>
    <cellStyle name="Table Sub Head" xfId="1326"/>
    <cellStyle name="Table Sub Head 2" xfId="2440"/>
    <cellStyle name="Table Title" xfId="1327"/>
    <cellStyle name="Table Title 2" xfId="2441"/>
    <cellStyle name="Table Units" xfId="1328"/>
    <cellStyle name="Table Units 2" xfId="2442"/>
    <cellStyle name="TableBody" xfId="1329"/>
    <cellStyle name="TableBodyR" xfId="1330"/>
    <cellStyle name="TableColHeads" xfId="1331"/>
    <cellStyle name="TableHead" xfId="1332"/>
    <cellStyle name="TableHead 2" xfId="2443"/>
    <cellStyle name="Times 10" xfId="1333"/>
    <cellStyle name="Times 10 2" xfId="2444"/>
    <cellStyle name="Times 12" xfId="1334"/>
    <cellStyle name="Times 12 2" xfId="2445"/>
    <cellStyle name="Title - PROJECT" xfId="1335"/>
    <cellStyle name="Title - PROJECT 2" xfId="2446"/>
    <cellStyle name="Title - Underline" xfId="1336"/>
    <cellStyle name="Title - Underline 2" xfId="2447"/>
    <cellStyle name="title1" xfId="1337"/>
    <cellStyle name="title1 2" xfId="2448"/>
    <cellStyle name="Title10" xfId="1338"/>
    <cellStyle name="Title2" xfId="1339"/>
    <cellStyle name="Title2 2" xfId="1372"/>
    <cellStyle name="Title8" xfId="1340"/>
    <cellStyle name="Title8Left" xfId="1341"/>
    <cellStyle name="Titles - Col. Headings" xfId="1342"/>
    <cellStyle name="Titles - Col. Headings 2" xfId="2449"/>
    <cellStyle name="Titles - Other" xfId="1343"/>
    <cellStyle name="Titles - Other 2" xfId="2450"/>
    <cellStyle name="ubordinated Debt" xfId="1344"/>
    <cellStyle name="X" xfId="1345"/>
    <cellStyle name="X - None" xfId="1346"/>
    <cellStyle name="XX" xfId="2555"/>
    <cellStyle name="Year" xfId="1347"/>
    <cellStyle name="Yen" xfId="1348"/>
    <cellStyle name="표준 2" xfId="255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RTY_MOD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4th%20Year/EUM/EUM%20Final%20Project%20-%20%23thatpower/DIRTY_MOD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Input Analysis"/>
      <sheetName val="Input Dashboard"/>
      <sheetName val="Overview"/>
      <sheetName val="Financials Import"/>
      <sheetName val="Summary Calcs"/>
      <sheetName val="EPS-PE Model"/>
      <sheetName val="DCF (Constant Growth)"/>
      <sheetName val="3-STAGE DCF"/>
      <sheetName val="DCF (Combined)"/>
      <sheetName val="EVA"/>
      <sheetName val="DDM"/>
      <sheetName val="ROE"/>
      <sheetName val="ResidualInc"/>
      <sheetName val="FCFE (Constant)"/>
      <sheetName val="DCF (Analyst Est)"/>
      <sheetName val="FCFE-3 Stage"/>
      <sheetName val="Price Implied CAP"/>
      <sheetName val="DCF (Growth Decline)"/>
      <sheetName val="DCF (CAPEX Decline)"/>
      <sheetName val="DCF (Growth-Capex Decline)"/>
      <sheetName val="DCF (Abs Sales Gr)"/>
      <sheetName val="DCF (Linear Trend)"/>
      <sheetName val="DCF (Growth-Capex-WACC Decline)"/>
      <sheetName val="DCF (Gr-Capex-WACC-Margin)"/>
      <sheetName val="DuPont"/>
      <sheetName val="EPV"/>
      <sheetName val="Siegel"/>
      <sheetName val="2stage DDM"/>
      <sheetName val="DDM_Simple"/>
      <sheetName val="PDE"/>
      <sheetName val="Instructions"/>
      <sheetName val="Print Dash."/>
      <sheetName val="Sheet1"/>
      <sheetName val="DCF_multi"/>
    </sheetNames>
    <sheetDataSet>
      <sheetData sheetId="0" refreshError="1"/>
      <sheetData sheetId="1" refreshError="1"/>
      <sheetData sheetId="2">
        <row r="5">
          <cell r="C5">
            <v>5</v>
          </cell>
        </row>
        <row r="6">
          <cell r="C6">
            <v>7.0000000000000007E-2</v>
          </cell>
        </row>
        <row r="13">
          <cell r="C13">
            <v>0.03</v>
          </cell>
        </row>
        <row r="14">
          <cell r="C14">
            <v>5.5E-2</v>
          </cell>
        </row>
        <row r="21">
          <cell r="C21">
            <v>0.04</v>
          </cell>
        </row>
      </sheetData>
      <sheetData sheetId="3" refreshError="1"/>
      <sheetData sheetId="4">
        <row r="2">
          <cell r="B2" t="str">
            <v>RIG</v>
          </cell>
        </row>
      </sheetData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7">
          <cell r="P7">
            <v>5</v>
          </cell>
        </row>
        <row r="14">
          <cell r="G14" t="e">
            <v>#NAME?</v>
          </cell>
        </row>
        <row r="21">
          <cell r="G21" t="e">
            <v>#NAME?</v>
          </cell>
        </row>
        <row r="35">
          <cell r="G35" t="e">
            <v>#NAME?</v>
          </cell>
        </row>
        <row r="63">
          <cell r="G63">
            <v>0.05</v>
          </cell>
        </row>
        <row r="64">
          <cell r="P64">
            <v>1</v>
          </cell>
        </row>
      </sheetData>
      <sheetData sheetId="17">
        <row r="18">
          <cell r="C18">
            <v>0.03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8">
          <cell r="C8" t="e">
            <v>#NAME?</v>
          </cell>
        </row>
        <row r="9">
          <cell r="C9" t="e">
            <v>#NAME?</v>
          </cell>
        </row>
        <row r="12">
          <cell r="C12">
            <v>5</v>
          </cell>
        </row>
        <row r="13">
          <cell r="C13" t="e">
            <v>#DIV/0!</v>
          </cell>
        </row>
        <row r="14">
          <cell r="C14" t="e">
            <v>#NAME?</v>
          </cell>
        </row>
        <row r="15">
          <cell r="C15" t="e">
            <v>#NAME?</v>
          </cell>
        </row>
        <row r="18">
          <cell r="C18">
            <v>0.06</v>
          </cell>
        </row>
        <row r="19">
          <cell r="C19">
            <v>0.65</v>
          </cell>
        </row>
        <row r="20">
          <cell r="C20">
            <v>0.11</v>
          </cell>
        </row>
      </sheetData>
      <sheetData sheetId="29" refreshError="1"/>
      <sheetData sheetId="30">
        <row r="2">
          <cell r="AB2" t="e">
            <v>#NAME?</v>
          </cell>
        </row>
        <row r="36">
          <cell r="M36" t="e">
            <v>#N/A</v>
          </cell>
        </row>
        <row r="37">
          <cell r="M37" t="e">
            <v>#NAME?</v>
          </cell>
        </row>
        <row r="39">
          <cell r="N39">
            <v>27987</v>
          </cell>
        </row>
      </sheetData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Input Analysis"/>
      <sheetName val="Input Dashboard"/>
      <sheetName val="Overview"/>
      <sheetName val="Financials Import"/>
      <sheetName val="Summary Calcs"/>
      <sheetName val="EPS-PE Model"/>
      <sheetName val="DCF (Constant Growth)"/>
      <sheetName val="3-STAGE DCF"/>
      <sheetName val="DCF (Combined)"/>
      <sheetName val="EVA"/>
      <sheetName val="DDM"/>
      <sheetName val="ROE"/>
      <sheetName val="ResidualInc"/>
      <sheetName val="FCFE (Constant)"/>
      <sheetName val="DCF (Analyst Est)"/>
      <sheetName val="FCFE-3 Stage"/>
      <sheetName val="Price Implied CAP"/>
      <sheetName val="DCF (Growth Decline)"/>
      <sheetName val="DCF (CAPEX Decline)"/>
      <sheetName val="DCF (Growth-Capex Decline)"/>
      <sheetName val="DCF (Abs Sales Gr)"/>
      <sheetName val="DCF (Linear Trend)"/>
      <sheetName val="DCF (Growth-Capex-WACC Decline)"/>
      <sheetName val="DCF (Gr-Capex-WACC-Margin)"/>
      <sheetName val="DuPont"/>
      <sheetName val="EPV"/>
      <sheetName val="Siegel"/>
      <sheetName val="2stage DDM"/>
      <sheetName val="DDM_Simple"/>
      <sheetName val="PDE"/>
      <sheetName val="Instructions"/>
      <sheetName val="Print Dash."/>
      <sheetName val="Sheet1"/>
      <sheetName val="DCF_multi"/>
      <sheetName val="FORECAST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2">
          <cell r="B2" t="str">
            <v>RIG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7">
          <cell r="P7">
            <v>5</v>
          </cell>
        </row>
        <row r="14">
          <cell r="G14" t="e">
            <v>#NAME?</v>
          </cell>
        </row>
        <row r="21">
          <cell r="G21" t="e">
            <v>#NAME?</v>
          </cell>
        </row>
        <row r="35">
          <cell r="G35" t="e">
            <v>#NAME?</v>
          </cell>
        </row>
        <row r="63">
          <cell r="G63">
            <v>0.05</v>
          </cell>
        </row>
        <row r="64">
          <cell r="P64">
            <v>1</v>
          </cell>
        </row>
      </sheetData>
      <sheetData sheetId="17" refreshError="1">
        <row r="10">
          <cell r="C10">
            <v>7.0000000000000007E-2</v>
          </cell>
        </row>
        <row r="18">
          <cell r="C18">
            <v>0.03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>
        <row r="8">
          <cell r="C8" t="e">
            <v>#NAME?</v>
          </cell>
        </row>
        <row r="9">
          <cell r="C9" t="e">
            <v>#NAME?</v>
          </cell>
        </row>
        <row r="12">
          <cell r="C12">
            <v>5</v>
          </cell>
        </row>
        <row r="13">
          <cell r="C13" t="e">
            <v>#DIV/0!</v>
          </cell>
        </row>
        <row r="14">
          <cell r="C14" t="e">
            <v>#NAME?</v>
          </cell>
        </row>
        <row r="15">
          <cell r="C15" t="e">
            <v>#NAME?</v>
          </cell>
        </row>
        <row r="18">
          <cell r="C18">
            <v>0.06</v>
          </cell>
        </row>
        <row r="19">
          <cell r="C19">
            <v>0.65</v>
          </cell>
        </row>
        <row r="20">
          <cell r="C20">
            <v>0.11</v>
          </cell>
        </row>
      </sheetData>
      <sheetData sheetId="29" refreshError="1"/>
      <sheetData sheetId="30" refreshError="1">
        <row r="2">
          <cell r="AB2" t="e">
            <v>#NAME?</v>
          </cell>
        </row>
        <row r="36">
          <cell r="M36" t="e">
            <v>#N/A</v>
          </cell>
        </row>
        <row r="37">
          <cell r="M37" t="e">
            <v>#NAME?</v>
          </cell>
        </row>
        <row r="39">
          <cell r="N39">
            <v>27987</v>
          </cell>
        </row>
      </sheetData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V145"/>
  <sheetViews>
    <sheetView showGridLines="0" showZeros="0" topLeftCell="A24" zoomScale="85" workbookViewId="0">
      <selection activeCell="D29" sqref="D29"/>
    </sheetView>
  </sheetViews>
  <sheetFormatPr defaultColWidth="11.42578125" defaultRowHeight="12.75"/>
  <cols>
    <col min="1" max="1" width="6.42578125" style="29" customWidth="1"/>
    <col min="2" max="2" width="23.85546875" style="29" customWidth="1"/>
    <col min="3" max="3" width="10.7109375" style="29" customWidth="1"/>
    <col min="4" max="4" width="18.5703125" style="29" customWidth="1"/>
    <col min="5" max="5" width="15.140625" style="29" bestFit="1" customWidth="1"/>
    <col min="6" max="6" width="10" style="29" customWidth="1"/>
    <col min="7" max="8" width="12.7109375" style="29" customWidth="1"/>
    <col min="9" max="12" width="11.42578125" style="29" customWidth="1"/>
    <col min="13" max="13" width="12.7109375" style="29" customWidth="1"/>
    <col min="14" max="16384" width="11.42578125" style="29"/>
  </cols>
  <sheetData>
    <row r="1" spans="2:9" ht="20.100000000000001" customHeight="1">
      <c r="B1" s="1"/>
      <c r="C1" s="1"/>
      <c r="D1" s="1"/>
      <c r="E1" s="1"/>
      <c r="F1" s="1"/>
      <c r="G1" s="1"/>
      <c r="H1" s="1"/>
      <c r="I1" s="53"/>
    </row>
    <row r="2" spans="2:9" ht="20.100000000000001" customHeight="1">
      <c r="B2" s="1"/>
      <c r="C2" s="1"/>
      <c r="D2" s="1"/>
      <c r="E2" s="1"/>
      <c r="F2" s="1"/>
      <c r="G2" s="1"/>
      <c r="H2" s="1"/>
      <c r="I2" s="53"/>
    </row>
    <row r="3" spans="2:9" ht="20.100000000000001" customHeight="1">
      <c r="B3" s="1"/>
      <c r="C3" s="1"/>
      <c r="D3" s="1"/>
      <c r="E3" s="1"/>
      <c r="F3" s="1"/>
      <c r="G3" s="1"/>
      <c r="H3" s="1"/>
      <c r="I3" s="53"/>
    </row>
    <row r="4" spans="2:9" ht="20.100000000000001" customHeight="1">
      <c r="B4" s="1"/>
      <c r="C4" s="1"/>
      <c r="D4" s="1"/>
      <c r="E4" s="1"/>
      <c r="F4" s="1"/>
      <c r="G4" s="1"/>
      <c r="H4" s="1"/>
      <c r="I4" s="53"/>
    </row>
    <row r="5" spans="2:9">
      <c r="B5" s="1"/>
      <c r="C5" s="1"/>
      <c r="D5" s="1"/>
      <c r="E5" s="1"/>
      <c r="F5" s="1"/>
      <c r="G5" s="1"/>
      <c r="H5" s="1"/>
    </row>
    <row r="6" spans="2:9">
      <c r="B6" s="1"/>
      <c r="C6" s="1"/>
      <c r="D6" s="1"/>
      <c r="E6" s="1"/>
      <c r="F6" s="1"/>
      <c r="G6" s="1"/>
      <c r="H6" s="1"/>
    </row>
    <row r="7" spans="2:9">
      <c r="B7" s="100"/>
      <c r="C7" s="100"/>
      <c r="D7" s="33" t="s">
        <v>169</v>
      </c>
      <c r="E7" s="99" t="s">
        <v>168</v>
      </c>
      <c r="F7" s="98" t="s">
        <v>167</v>
      </c>
      <c r="G7" s="1"/>
      <c r="H7" s="1"/>
    </row>
    <row r="8" spans="2:9">
      <c r="B8" s="83" t="s">
        <v>166</v>
      </c>
      <c r="C8" s="97"/>
      <c r="D8" s="96">
        <f t="shared" ref="D8:D17" si="0">IF(F8="",E8,F8)</f>
        <v>5</v>
      </c>
      <c r="E8" s="95">
        <f>'[1]Input Dashboard'!C5</f>
        <v>5</v>
      </c>
      <c r="F8" s="94"/>
      <c r="G8" s="1"/>
      <c r="H8" s="1"/>
    </row>
    <row r="9" spans="2:9">
      <c r="B9" s="83" t="s">
        <v>124</v>
      </c>
      <c r="C9" s="82"/>
      <c r="D9" s="91">
        <f t="shared" si="0"/>
        <v>7.0000000000000007E-2</v>
      </c>
      <c r="E9" s="93">
        <f>'[1]Input Dashboard'!C6</f>
        <v>7.0000000000000007E-2</v>
      </c>
      <c r="F9" s="89"/>
      <c r="G9" s="1"/>
      <c r="H9" s="1"/>
    </row>
    <row r="10" spans="2:9">
      <c r="B10" s="83" t="s">
        <v>23</v>
      </c>
      <c r="C10" s="82"/>
      <c r="D10" s="91">
        <f t="shared" si="0"/>
        <v>0.7</v>
      </c>
      <c r="E10" s="92">
        <f>INPUT_SHEET!C53</f>
        <v>0.7</v>
      </c>
      <c r="F10" s="89"/>
      <c r="G10" s="1"/>
      <c r="H10" s="1"/>
    </row>
    <row r="11" spans="2:9">
      <c r="B11" s="88" t="s">
        <v>30</v>
      </c>
      <c r="C11" s="87"/>
      <c r="D11" s="91">
        <f t="shared" si="0"/>
        <v>0.4</v>
      </c>
      <c r="E11" s="92">
        <f>INPUT_SHEET!C45</f>
        <v>0.4</v>
      </c>
      <c r="F11" s="89"/>
      <c r="G11" s="1"/>
      <c r="H11" s="1"/>
    </row>
    <row r="12" spans="2:9">
      <c r="B12" s="83" t="s">
        <v>165</v>
      </c>
      <c r="C12" s="82"/>
      <c r="D12" s="91">
        <f t="shared" ca="1" si="0"/>
        <v>2.2212350066637052</v>
      </c>
      <c r="E12" s="92">
        <f ca="1">INPUT_SHEET!C69/INPUT_SHEET!C30</f>
        <v>2.2212350066637052</v>
      </c>
      <c r="F12" s="89"/>
      <c r="G12" s="1"/>
      <c r="H12" s="1"/>
    </row>
    <row r="13" spans="2:9">
      <c r="B13" s="83" t="s">
        <v>164</v>
      </c>
      <c r="C13" s="82"/>
      <c r="D13" s="91">
        <f t="shared" ca="1" si="0"/>
        <v>0.66637050199911152</v>
      </c>
      <c r="E13" s="92">
        <f ca="1">INPUT_SHEET!C68/INPUT_SHEET!C30</f>
        <v>0.66637050199911152</v>
      </c>
      <c r="F13" s="89"/>
      <c r="G13" s="1"/>
      <c r="H13" s="1"/>
    </row>
    <row r="14" spans="2:9">
      <c r="B14" s="83" t="s">
        <v>163</v>
      </c>
      <c r="C14" s="82"/>
      <c r="D14" s="91">
        <f t="shared" si="0"/>
        <v>0.01</v>
      </c>
      <c r="E14" s="92">
        <f>INPUT_SHEET!C70</f>
        <v>0.01</v>
      </c>
      <c r="F14" s="89"/>
      <c r="G14" s="1"/>
      <c r="H14" s="1"/>
    </row>
    <row r="15" spans="2:9">
      <c r="B15" s="88" t="s">
        <v>33</v>
      </c>
      <c r="C15" s="87"/>
      <c r="D15" s="91">
        <f t="shared" ca="1" si="0"/>
        <v>6.4541041045104525E-2</v>
      </c>
      <c r="E15" s="90">
        <f ca="1">INPUT_SHEET!C42</f>
        <v>6.4541041045104525E-2</v>
      </c>
      <c r="F15" s="89"/>
      <c r="G15" s="1"/>
      <c r="H15" s="1"/>
    </row>
    <row r="16" spans="2:9">
      <c r="B16" s="88" t="s">
        <v>162</v>
      </c>
      <c r="C16" s="87"/>
      <c r="D16" s="86">
        <f t="shared" si="0"/>
        <v>0.03</v>
      </c>
      <c r="E16" s="85">
        <f>'[1]Input Dashboard'!C13</f>
        <v>0.03</v>
      </c>
      <c r="F16" s="84"/>
      <c r="G16" s="1"/>
      <c r="H16" s="1"/>
    </row>
    <row r="17" spans="1:9">
      <c r="B17" s="83" t="s">
        <v>161</v>
      </c>
      <c r="C17" s="82"/>
      <c r="D17" s="81">
        <f t="shared" si="0"/>
        <v>5.5E-2</v>
      </c>
      <c r="E17" s="80">
        <f>'[1]Input Dashboard'!C14</f>
        <v>5.5E-2</v>
      </c>
      <c r="F17" s="79"/>
      <c r="G17" s="1"/>
      <c r="H17" s="1"/>
    </row>
    <row r="18" spans="1:9">
      <c r="B18" s="1"/>
      <c r="C18" s="1"/>
      <c r="D18" s="1"/>
      <c r="E18" s="1"/>
      <c r="F18" s="1"/>
      <c r="G18" s="1"/>
      <c r="H18" s="1"/>
    </row>
    <row r="19" spans="1:9">
      <c r="B19" s="1"/>
      <c r="C19" s="1"/>
      <c r="D19" s="1"/>
      <c r="E19" s="1"/>
      <c r="F19" s="1"/>
      <c r="G19" s="1"/>
      <c r="H19" s="1"/>
    </row>
    <row r="20" spans="1:9">
      <c r="B20" s="1"/>
      <c r="C20" s="1"/>
      <c r="D20" s="1"/>
      <c r="E20" s="1"/>
      <c r="F20" s="1"/>
      <c r="G20" s="1"/>
      <c r="H20" s="1"/>
    </row>
    <row r="21" spans="1:9">
      <c r="B21" s="1"/>
      <c r="C21" s="1"/>
      <c r="D21" s="1"/>
      <c r="E21" s="1"/>
      <c r="F21" s="1"/>
      <c r="G21" s="1"/>
      <c r="H21" s="1"/>
    </row>
    <row r="22" spans="1:9">
      <c r="B22" s="1"/>
      <c r="C22" s="1"/>
      <c r="D22" s="1"/>
      <c r="E22" s="1"/>
      <c r="F22" s="1"/>
      <c r="G22" s="1"/>
      <c r="H22" s="1"/>
    </row>
    <row r="23" spans="1:9">
      <c r="B23" s="1"/>
      <c r="C23" s="1"/>
      <c r="D23" s="1"/>
      <c r="E23" s="1"/>
      <c r="F23" s="1"/>
      <c r="G23" s="1"/>
      <c r="H23" s="1"/>
    </row>
    <row r="24" spans="1:9">
      <c r="B24" s="1"/>
      <c r="C24" s="1"/>
      <c r="D24" s="1"/>
      <c r="E24" s="1"/>
      <c r="F24" s="1"/>
      <c r="G24" s="1"/>
      <c r="H24" s="1"/>
    </row>
    <row r="25" spans="1:9">
      <c r="B25" s="1"/>
      <c r="C25" s="1"/>
      <c r="D25" s="1"/>
      <c r="E25" s="1"/>
      <c r="F25" s="1"/>
      <c r="G25" s="1"/>
      <c r="H25" s="1"/>
    </row>
    <row r="26" spans="1:9">
      <c r="D26" s="78"/>
    </row>
    <row r="27" spans="1:9">
      <c r="B27" s="29" t="s">
        <v>160</v>
      </c>
      <c r="D27" s="77">
        <v>10</v>
      </c>
    </row>
    <row r="28" spans="1:9">
      <c r="D28" s="74"/>
    </row>
    <row r="29" spans="1:9">
      <c r="A29" s="53"/>
      <c r="B29" s="29" t="s">
        <v>159</v>
      </c>
      <c r="D29" s="75">
        <f ca="1">INPUT_SHEET!C26</f>
        <v>1850</v>
      </c>
      <c r="E29" s="53"/>
      <c r="F29" s="53"/>
      <c r="G29" s="53"/>
      <c r="H29" s="53"/>
      <c r="I29" s="53"/>
    </row>
    <row r="30" spans="1:9">
      <c r="B30" s="29" t="s">
        <v>158</v>
      </c>
      <c r="D30" s="75">
        <f>INPUT_SHEET!C71</f>
        <v>67900</v>
      </c>
      <c r="E30" s="1"/>
    </row>
    <row r="31" spans="1:9">
      <c r="B31" s="29" t="s">
        <v>157</v>
      </c>
      <c r="D31" s="75">
        <f>INPUT_SHEET!C76</f>
        <v>36472</v>
      </c>
      <c r="E31" s="1"/>
    </row>
    <row r="32" spans="1:9">
      <c r="B32" s="29" t="s">
        <v>156</v>
      </c>
      <c r="D32" s="75">
        <f ca="1">INPUT_SHEET!I2</f>
        <v>5774</v>
      </c>
      <c r="E32" s="1"/>
    </row>
    <row r="33" spans="2:7">
      <c r="B33" s="29" t="s">
        <v>155</v>
      </c>
      <c r="D33" s="75">
        <f ca="1">INPUT_SHEET!I3</f>
        <v>2074</v>
      </c>
      <c r="E33" s="1"/>
    </row>
    <row r="34" spans="2:7">
      <c r="B34" s="29" t="s">
        <v>154</v>
      </c>
      <c r="D34" s="75">
        <f ca="1">INPUT_SHEET!I4</f>
        <v>2759</v>
      </c>
      <c r="E34" s="1"/>
    </row>
    <row r="35" spans="2:7">
      <c r="B35" s="29" t="s">
        <v>153</v>
      </c>
      <c r="D35" s="75">
        <f>INPUT_SHEET!C68</f>
        <v>1500</v>
      </c>
      <c r="E35" s="1"/>
    </row>
    <row r="36" spans="2:7">
      <c r="B36" s="29" t="s">
        <v>152</v>
      </c>
      <c r="D36" s="76">
        <f>INPUT_SHEET!C45</f>
        <v>0.4</v>
      </c>
      <c r="E36" s="1"/>
    </row>
    <row r="37" spans="2:7">
      <c r="D37" s="74"/>
      <c r="E37" s="1"/>
    </row>
    <row r="38" spans="2:7">
      <c r="B38" s="29" t="s">
        <v>151</v>
      </c>
      <c r="D38" s="75">
        <f ca="1">INPUT_SHEET!I5</f>
        <v>15706</v>
      </c>
      <c r="E38" s="1"/>
    </row>
    <row r="39" spans="2:7">
      <c r="B39" s="29" t="s">
        <v>150</v>
      </c>
      <c r="D39" s="75">
        <f ca="1">INPUT_SHEET!I6</f>
        <v>3410</v>
      </c>
      <c r="E39" s="1"/>
    </row>
    <row r="40" spans="2:7">
      <c r="B40" s="29" t="s">
        <v>149</v>
      </c>
      <c r="D40" s="75">
        <f ca="1">INPUT_SHEET!C20</f>
        <v>3965</v>
      </c>
      <c r="E40" s="1"/>
    </row>
    <row r="41" spans="2:7">
      <c r="B41" s="29" t="s">
        <v>148</v>
      </c>
      <c r="D41" s="75">
        <f ca="1">INPUT_SHEET!C21</f>
        <v>38057</v>
      </c>
      <c r="E41" s="1"/>
    </row>
    <row r="42" spans="2:7">
      <c r="B42" s="29" t="s">
        <v>147</v>
      </c>
      <c r="D42" s="75">
        <f ca="1">INPUT_SHEET!I7</f>
        <v>-7727</v>
      </c>
      <c r="E42" s="1"/>
    </row>
    <row r="43" spans="2:7">
      <c r="D43" s="74"/>
      <c r="E43" s="1"/>
    </row>
    <row r="44" spans="2:7" s="43" customFormat="1">
      <c r="B44" s="43" t="s">
        <v>146</v>
      </c>
      <c r="D44" s="73"/>
      <c r="E44" s="1"/>
    </row>
    <row r="45" spans="2:7">
      <c r="B45" s="29" t="s">
        <v>145</v>
      </c>
      <c r="F45" s="57" t="s">
        <v>111</v>
      </c>
      <c r="G45" s="34" t="s">
        <v>144</v>
      </c>
    </row>
    <row r="46" spans="2:7">
      <c r="F46" s="55"/>
      <c r="G46" s="34"/>
    </row>
    <row r="47" spans="2:7">
      <c r="B47" s="29" t="s">
        <v>143</v>
      </c>
      <c r="F47" s="38">
        <f ca="1">INPUT_SHEET!C24</f>
        <v>35.805698606689667</v>
      </c>
      <c r="G47" s="34" t="s">
        <v>142</v>
      </c>
    </row>
    <row r="48" spans="2:7">
      <c r="B48" s="29" t="s">
        <v>141</v>
      </c>
      <c r="F48" s="72">
        <f ca="1">INPUT_SHEET!C23</f>
        <v>1434</v>
      </c>
      <c r="G48" s="34" t="s">
        <v>140</v>
      </c>
    </row>
    <row r="49" spans="2:7">
      <c r="B49" s="29" t="s">
        <v>139</v>
      </c>
      <c r="F49" s="38">
        <f ca="1">D40</f>
        <v>3965</v>
      </c>
      <c r="G49" s="34" t="s">
        <v>138</v>
      </c>
    </row>
    <row r="50" spans="2:7">
      <c r="D50" s="34"/>
      <c r="E50" s="34"/>
    </row>
    <row r="51" spans="2:7">
      <c r="B51" s="29" t="s">
        <v>137</v>
      </c>
      <c r="D51" s="34"/>
      <c r="E51" s="34"/>
      <c r="F51" s="57" t="s">
        <v>111</v>
      </c>
      <c r="G51" s="34" t="s">
        <v>99</v>
      </c>
    </row>
    <row r="52" spans="2:7">
      <c r="B52" s="29" t="s">
        <v>136</v>
      </c>
      <c r="D52" s="34"/>
      <c r="E52" s="34"/>
      <c r="F52" s="71"/>
      <c r="G52" s="34" t="s">
        <v>107</v>
      </c>
    </row>
    <row r="53" spans="2:7">
      <c r="D53" s="34"/>
      <c r="E53" s="34"/>
    </row>
    <row r="54" spans="2:7">
      <c r="F54" s="34" t="s">
        <v>135</v>
      </c>
    </row>
    <row r="55" spans="2:7">
      <c r="E55" s="62"/>
      <c r="F55" s="34"/>
    </row>
    <row r="56" spans="2:7">
      <c r="B56" s="43" t="s">
        <v>134</v>
      </c>
    </row>
    <row r="57" spans="2:7">
      <c r="B57" s="29" t="s">
        <v>133</v>
      </c>
      <c r="E57" s="70" t="s">
        <v>100</v>
      </c>
      <c r="F57" s="34" t="s">
        <v>99</v>
      </c>
    </row>
    <row r="58" spans="2:7">
      <c r="B58" s="29" t="s">
        <v>132</v>
      </c>
      <c r="E58" s="60">
        <v>0.1535</v>
      </c>
      <c r="F58" s="34" t="s">
        <v>107</v>
      </c>
    </row>
    <row r="59" spans="2:7">
      <c r="B59" s="58"/>
      <c r="F59" s="34"/>
    </row>
    <row r="60" spans="2:7">
      <c r="B60" s="29" t="s">
        <v>131</v>
      </c>
      <c r="D60" s="64">
        <f ca="1">INPUT_SHEET!C46</f>
        <v>0.61352602612761287</v>
      </c>
      <c r="F60" s="34"/>
    </row>
    <row r="61" spans="2:7">
      <c r="B61" s="29" t="s">
        <v>130</v>
      </c>
      <c r="D61" s="60">
        <f>INPUT_SHEET!C43</f>
        <v>0.04</v>
      </c>
      <c r="E61" s="34" t="s">
        <v>107</v>
      </c>
      <c r="F61" s="34"/>
    </row>
    <row r="62" spans="2:7">
      <c r="B62" s="29" t="s">
        <v>129</v>
      </c>
      <c r="D62" s="60">
        <f>'[1]Input Dashboard'!C21</f>
        <v>0.04</v>
      </c>
      <c r="E62" s="34" t="s">
        <v>107</v>
      </c>
      <c r="F62" s="34"/>
    </row>
    <row r="63" spans="2:7">
      <c r="D63" s="39"/>
      <c r="E63" s="34"/>
      <c r="F63" s="34"/>
    </row>
    <row r="64" spans="2:7">
      <c r="B64" s="29" t="s">
        <v>128</v>
      </c>
      <c r="D64" s="39"/>
      <c r="E64" s="60">
        <f>INPUT_SHEET!C50</f>
        <v>3.3000000000000002E-2</v>
      </c>
      <c r="F64" s="34" t="s">
        <v>103</v>
      </c>
    </row>
    <row r="65" spans="2:7">
      <c r="D65" s="39"/>
      <c r="E65" s="34"/>
      <c r="F65" s="34"/>
    </row>
    <row r="66" spans="2:7">
      <c r="B66" s="43" t="s">
        <v>127</v>
      </c>
      <c r="F66" s="34"/>
    </row>
    <row r="67" spans="2:7">
      <c r="B67" s="43" t="s">
        <v>126</v>
      </c>
      <c r="F67" s="34"/>
    </row>
    <row r="68" spans="2:7">
      <c r="B68" s="34" t="s">
        <v>125</v>
      </c>
      <c r="C68" s="68" t="s">
        <v>124</v>
      </c>
      <c r="D68" s="68" t="s">
        <v>123</v>
      </c>
      <c r="E68" s="68" t="s">
        <v>122</v>
      </c>
      <c r="F68" s="68" t="s">
        <v>122</v>
      </c>
      <c r="G68" s="68" t="s">
        <v>121</v>
      </c>
    </row>
    <row r="69" spans="2:7">
      <c r="B69" s="69"/>
      <c r="C69" s="68" t="s">
        <v>120</v>
      </c>
      <c r="D69" s="68" t="s">
        <v>117</v>
      </c>
      <c r="E69" s="68" t="s">
        <v>119</v>
      </c>
      <c r="F69" s="68" t="s">
        <v>118</v>
      </c>
      <c r="G69" s="68" t="s">
        <v>117</v>
      </c>
    </row>
    <row r="70" spans="2:7">
      <c r="B70" s="34">
        <f>IF($D$27&gt;0,1,0)</f>
        <v>1</v>
      </c>
      <c r="C70" s="66">
        <v>0.06</v>
      </c>
      <c r="D70" s="67">
        <v>0.8165</v>
      </c>
      <c r="E70" s="67">
        <f t="shared" ref="E70:E77" si="1">C72</f>
        <v>0.06</v>
      </c>
      <c r="F70" s="67">
        <f t="shared" ref="F70:F78" si="2">C71</f>
        <v>0.06</v>
      </c>
      <c r="G70" s="66">
        <f>D14</f>
        <v>0.01</v>
      </c>
    </row>
    <row r="71" spans="2:7">
      <c r="B71" s="34">
        <f>IF($D$27&gt;1,2,0)</f>
        <v>2</v>
      </c>
      <c r="C71" s="66">
        <v>0.06</v>
      </c>
      <c r="D71" s="67">
        <f t="shared" ref="D71:D79" si="3">D70</f>
        <v>0.8165</v>
      </c>
      <c r="E71" s="67">
        <f t="shared" si="1"/>
        <v>0.06</v>
      </c>
      <c r="F71" s="67">
        <f t="shared" si="2"/>
        <v>0.06</v>
      </c>
      <c r="G71" s="66">
        <f t="shared" ref="G71:G79" si="4">G70</f>
        <v>0.01</v>
      </c>
    </row>
    <row r="72" spans="2:7">
      <c r="B72" s="34">
        <f>IF($D$27&gt;2,3,0)</f>
        <v>3</v>
      </c>
      <c r="C72" s="66">
        <v>0.06</v>
      </c>
      <c r="D72" s="67">
        <f t="shared" si="3"/>
        <v>0.8165</v>
      </c>
      <c r="E72" s="67">
        <f t="shared" si="1"/>
        <v>0.06</v>
      </c>
      <c r="F72" s="67">
        <f t="shared" si="2"/>
        <v>0.06</v>
      </c>
      <c r="G72" s="66">
        <f t="shared" si="4"/>
        <v>0.01</v>
      </c>
    </row>
    <row r="73" spans="2:7">
      <c r="B73" s="34">
        <f>IF($D$27&gt;3,4,0)</f>
        <v>4</v>
      </c>
      <c r="C73" s="66">
        <v>0.06</v>
      </c>
      <c r="D73" s="67">
        <f t="shared" si="3"/>
        <v>0.8165</v>
      </c>
      <c r="E73" s="67">
        <f t="shared" si="1"/>
        <v>0.06</v>
      </c>
      <c r="F73" s="67">
        <f t="shared" si="2"/>
        <v>0.06</v>
      </c>
      <c r="G73" s="66">
        <f t="shared" si="4"/>
        <v>0.01</v>
      </c>
    </row>
    <row r="74" spans="2:7">
      <c r="B74" s="34">
        <f>IF($D$27&gt;4,5,0)</f>
        <v>5</v>
      </c>
      <c r="C74" s="66">
        <v>0.06</v>
      </c>
      <c r="D74" s="67">
        <f t="shared" si="3"/>
        <v>0.8165</v>
      </c>
      <c r="E74" s="67">
        <f t="shared" si="1"/>
        <v>0.06</v>
      </c>
      <c r="F74" s="67">
        <f t="shared" si="2"/>
        <v>0.06</v>
      </c>
      <c r="G74" s="66">
        <f t="shared" si="4"/>
        <v>0.01</v>
      </c>
    </row>
    <row r="75" spans="2:7">
      <c r="B75" s="34">
        <f>IF($D$27&gt;5,6,0)</f>
        <v>6</v>
      </c>
      <c r="C75" s="66">
        <v>0.06</v>
      </c>
      <c r="D75" s="67">
        <f t="shared" si="3"/>
        <v>0.8165</v>
      </c>
      <c r="E75" s="67">
        <f t="shared" si="1"/>
        <v>0.03</v>
      </c>
      <c r="F75" s="67">
        <f t="shared" si="2"/>
        <v>0.06</v>
      </c>
      <c r="G75" s="66">
        <f t="shared" si="4"/>
        <v>0.01</v>
      </c>
    </row>
    <row r="76" spans="2:7">
      <c r="B76" s="34">
        <f>IF($D$27&gt;6,7,0)</f>
        <v>7</v>
      </c>
      <c r="C76" s="66">
        <v>0.06</v>
      </c>
      <c r="D76" s="67">
        <f t="shared" si="3"/>
        <v>0.8165</v>
      </c>
      <c r="E76" s="67">
        <f t="shared" si="1"/>
        <v>0.03</v>
      </c>
      <c r="F76" s="67">
        <f t="shared" si="2"/>
        <v>0.03</v>
      </c>
      <c r="G76" s="66">
        <f t="shared" si="4"/>
        <v>0.01</v>
      </c>
    </row>
    <row r="77" spans="2:7">
      <c r="B77" s="34">
        <f>IF($D$27&gt;7,8,0)</f>
        <v>8</v>
      </c>
      <c r="C77" s="66">
        <v>0.03</v>
      </c>
      <c r="D77" s="67">
        <f t="shared" si="3"/>
        <v>0.8165</v>
      </c>
      <c r="E77" s="67">
        <f t="shared" si="1"/>
        <v>0.03</v>
      </c>
      <c r="F77" s="67">
        <f t="shared" si="2"/>
        <v>0.03</v>
      </c>
      <c r="G77" s="66">
        <f t="shared" si="4"/>
        <v>0.01</v>
      </c>
    </row>
    <row r="78" spans="2:7">
      <c r="B78" s="34">
        <f>IF($D$27&gt;8,9,0)</f>
        <v>9</v>
      </c>
      <c r="C78" s="66">
        <v>0.03</v>
      </c>
      <c r="D78" s="67">
        <f t="shared" si="3"/>
        <v>0.8165</v>
      </c>
      <c r="E78" s="67">
        <f>C79</f>
        <v>0.03</v>
      </c>
      <c r="F78" s="67">
        <f t="shared" si="2"/>
        <v>0.03</v>
      </c>
      <c r="G78" s="66">
        <f t="shared" si="4"/>
        <v>0.01</v>
      </c>
    </row>
    <row r="79" spans="2:7">
      <c r="B79" s="34">
        <f>IF($D$27&gt;9,10,0)</f>
        <v>10</v>
      </c>
      <c r="C79" s="66">
        <v>0.03</v>
      </c>
      <c r="D79" s="67">
        <f t="shared" si="3"/>
        <v>0.8165</v>
      </c>
      <c r="E79" s="67">
        <f>C79</f>
        <v>0.03</v>
      </c>
      <c r="F79" s="67">
        <f>C79</f>
        <v>0.03</v>
      </c>
      <c r="G79" s="66">
        <f t="shared" si="4"/>
        <v>0.01</v>
      </c>
    </row>
    <row r="80" spans="2:7">
      <c r="B80" s="29" t="s">
        <v>116</v>
      </c>
      <c r="C80" s="65">
        <f ca="1">(L106/D29)^(1/10)-1</f>
        <v>5.0909391378110014E-2</v>
      </c>
    </row>
    <row r="81" spans="2:7">
      <c r="B81" s="29" t="s">
        <v>115</v>
      </c>
      <c r="E81" s="60">
        <f>'[1]Input Dashboard'!C13</f>
        <v>0.03</v>
      </c>
      <c r="F81" s="34" t="s">
        <v>107</v>
      </c>
    </row>
    <row r="82" spans="2:7">
      <c r="B82" s="29" t="s">
        <v>114</v>
      </c>
      <c r="E82" s="60">
        <f>D79</f>
        <v>0.8165</v>
      </c>
      <c r="F82" s="34" t="s">
        <v>107</v>
      </c>
    </row>
    <row r="83" spans="2:7">
      <c r="B83" s="29" t="s">
        <v>113</v>
      </c>
      <c r="E83" s="60">
        <f ca="1">INPUT_SHEET!I5/INPUT_SHEET!C26</f>
        <v>8.4897297297297296</v>
      </c>
      <c r="F83" s="34" t="s">
        <v>107</v>
      </c>
    </row>
    <row r="84" spans="2:7">
      <c r="E84" s="39"/>
      <c r="F84" s="34"/>
    </row>
    <row r="85" spans="2:7">
      <c r="B85" s="29" t="s">
        <v>112</v>
      </c>
      <c r="E85" s="57" t="s">
        <v>111</v>
      </c>
      <c r="F85" s="34" t="s">
        <v>99</v>
      </c>
    </row>
    <row r="86" spans="2:7">
      <c r="B86" s="29" t="s">
        <v>110</v>
      </c>
      <c r="E86" s="64">
        <v>1</v>
      </c>
      <c r="F86" s="34"/>
    </row>
    <row r="87" spans="2:7">
      <c r="E87" s="34"/>
      <c r="F87" s="34"/>
    </row>
    <row r="88" spans="2:7">
      <c r="B88" s="29" t="s">
        <v>109</v>
      </c>
      <c r="E88" s="62"/>
      <c r="F88" s="57" t="s">
        <v>105</v>
      </c>
      <c r="G88" s="34" t="s">
        <v>99</v>
      </c>
    </row>
    <row r="89" spans="2:7">
      <c r="B89" s="29" t="s">
        <v>108</v>
      </c>
      <c r="E89" s="62"/>
      <c r="F89" s="63">
        <v>0.15</v>
      </c>
      <c r="G89" s="34" t="s">
        <v>107</v>
      </c>
    </row>
    <row r="90" spans="2:7">
      <c r="E90" s="62"/>
      <c r="F90" s="61"/>
    </row>
    <row r="91" spans="2:7">
      <c r="B91" s="29" t="s">
        <v>106</v>
      </c>
      <c r="E91" s="57" t="s">
        <v>105</v>
      </c>
      <c r="F91" s="34" t="s">
        <v>99</v>
      </c>
    </row>
    <row r="92" spans="2:7">
      <c r="B92" s="29" t="s">
        <v>104</v>
      </c>
      <c r="E92" s="60">
        <v>0.08</v>
      </c>
      <c r="F92" s="34" t="s">
        <v>103</v>
      </c>
    </row>
    <row r="93" spans="2:7">
      <c r="E93" s="59"/>
      <c r="F93" s="34"/>
    </row>
    <row r="94" spans="2:7">
      <c r="B94" s="58" t="s">
        <v>102</v>
      </c>
      <c r="E94" s="34"/>
      <c r="F94" s="34"/>
    </row>
    <row r="95" spans="2:7">
      <c r="B95" s="29" t="s">
        <v>101</v>
      </c>
      <c r="E95" s="55"/>
      <c r="F95" s="57" t="s">
        <v>100</v>
      </c>
      <c r="G95" s="34" t="s">
        <v>99</v>
      </c>
    </row>
    <row r="96" spans="2:7">
      <c r="B96" s="29" t="s">
        <v>98</v>
      </c>
      <c r="E96" s="55"/>
      <c r="F96" s="56">
        <v>1.1000000000000001</v>
      </c>
      <c r="G96" s="34" t="s">
        <v>97</v>
      </c>
    </row>
    <row r="97" spans="1:22">
      <c r="E97" s="55"/>
      <c r="F97" s="55"/>
      <c r="G97" s="34"/>
    </row>
    <row r="98" spans="1:22">
      <c r="A98" s="53"/>
      <c r="B98" s="54" t="s">
        <v>96</v>
      </c>
      <c r="C98" s="53"/>
      <c r="D98" s="53"/>
      <c r="E98" s="53"/>
      <c r="F98" s="53"/>
      <c r="G98" s="53"/>
      <c r="H98" s="53"/>
      <c r="I98" s="53"/>
    </row>
    <row r="99" spans="1:22">
      <c r="B99" s="29" t="s">
        <v>95</v>
      </c>
      <c r="D99" s="36">
        <f ca="1">IF(E57="Yes",E58,D61+D60*D62)</f>
        <v>6.4541041045104525E-2</v>
      </c>
      <c r="E99" s="34"/>
      <c r="F99" s="34"/>
    </row>
    <row r="100" spans="1:22">
      <c r="B100" s="29" t="s">
        <v>94</v>
      </c>
      <c r="D100" s="36">
        <f ca="1">IF(F45="Yes",F47*F48/(F49+F47*F48),IF(F51="Yes",1-D40/(D40+D41),1-F52))</f>
        <v>0.92831362598330736</v>
      </c>
      <c r="E100" s="34"/>
      <c r="F100" s="34"/>
    </row>
    <row r="101" spans="1:22">
      <c r="B101" s="29" t="s">
        <v>93</v>
      </c>
      <c r="D101" s="36">
        <f>E64*(1-D36)</f>
        <v>1.9800000000000002E-2</v>
      </c>
      <c r="E101" s="34"/>
      <c r="F101" s="34"/>
    </row>
    <row r="102" spans="1:22">
      <c r="B102" s="29" t="s">
        <v>92</v>
      </c>
      <c r="D102" s="52">
        <f ca="1">1-D100</f>
        <v>7.1686374016692644E-2</v>
      </c>
      <c r="E102" s="34"/>
      <c r="F102" s="34"/>
    </row>
    <row r="103" spans="1:22">
      <c r="B103" s="29" t="s">
        <v>91</v>
      </c>
      <c r="D103" s="36">
        <f ca="1">D99*D100+D101*D102</f>
        <v>6.1333718042848963E-2</v>
      </c>
      <c r="E103" s="34"/>
      <c r="F103" s="34"/>
    </row>
    <row r="104" spans="1:22">
      <c r="D104" s="51"/>
      <c r="E104" s="34"/>
      <c r="F104" s="34"/>
    </row>
    <row r="105" spans="1:22">
      <c r="B105" s="50"/>
      <c r="C105" s="49">
        <f>IF($D$27&gt;0,1," ")</f>
        <v>1</v>
      </c>
      <c r="D105" s="49">
        <f>IF($D$27&gt;1,2," ")</f>
        <v>2</v>
      </c>
      <c r="E105" s="49">
        <f>IF($D$27&gt;2,3," ")</f>
        <v>3</v>
      </c>
      <c r="F105" s="49">
        <f>IF($D$27&gt;3,4," ")</f>
        <v>4</v>
      </c>
      <c r="G105" s="49">
        <f>IF($D$27&gt;4,5," ")</f>
        <v>5</v>
      </c>
      <c r="H105" s="49">
        <f>IF($D$27&gt;5,6," ")</f>
        <v>6</v>
      </c>
      <c r="I105" s="49">
        <f>IF($D$27&gt;6,7," ")</f>
        <v>7</v>
      </c>
      <c r="J105" s="49">
        <f>IF($D$27&gt;7,8," ")</f>
        <v>8</v>
      </c>
      <c r="K105" s="49">
        <f>IF($D$27&gt;8,9," ")</f>
        <v>9</v>
      </c>
      <c r="L105" s="49">
        <f>IF($D$27&gt;9,10," ")</f>
        <v>10</v>
      </c>
      <c r="M105" s="49" t="s">
        <v>90</v>
      </c>
    </row>
    <row r="106" spans="1:22">
      <c r="B106" s="31" t="s">
        <v>89</v>
      </c>
      <c r="C106" s="47">
        <f ca="1">IF($D$27&lt;C105,0,D29*(1+$C70))</f>
        <v>1961</v>
      </c>
      <c r="D106" s="47">
        <f ca="1">IF($D$27&lt;D105,0,C106*(1+$C71))</f>
        <v>2078.6600000000003</v>
      </c>
      <c r="E106" s="47">
        <f ca="1">IF($D$27&lt;E105,0,D106*(1+$C72))</f>
        <v>2203.3796000000007</v>
      </c>
      <c r="F106" s="47">
        <f ca="1">IF($D$27&lt;F105,0,E106*(1+$C73))</f>
        <v>2335.5823760000007</v>
      </c>
      <c r="G106" s="47">
        <f ca="1">IF($D$27&lt;G105,0,F106*(1+$C74))</f>
        <v>2475.7173185600009</v>
      </c>
      <c r="H106" s="47">
        <f ca="1">IF($D$27&lt;H105,0,G106*(1+$C75))</f>
        <v>2624.260357673601</v>
      </c>
      <c r="I106" s="47">
        <f ca="1">IF($D$27&lt;I105,0,H106*(1+$C76))</f>
        <v>2781.7159791340173</v>
      </c>
      <c r="J106" s="47">
        <f ca="1">IF($D$27&lt;J105,0,I106*(1+$C77))</f>
        <v>2865.1674585080377</v>
      </c>
      <c r="K106" s="47">
        <f ca="1">IF($D$27&lt;K105,0,J106*(1+$C78))</f>
        <v>2951.1224822632789</v>
      </c>
      <c r="L106" s="47">
        <f ca="1">IF($D$27&lt;L105,0,K106*(1+$C79))</f>
        <v>3039.6561567311774</v>
      </c>
      <c r="M106" s="46">
        <f ca="1">(C106*$C$118+D106*$D$118+E106*$E$118+F106*$F$118+G106*$G$118+H106*$H$118+I106*$I$118+J106*$J$118+K106*$K$118+L106*$L$118)*(1+E81)</f>
        <v>3130.8458414331126</v>
      </c>
    </row>
    <row r="107" spans="1:22">
      <c r="B107" s="29" t="s">
        <v>88</v>
      </c>
      <c r="C107" s="32">
        <f ca="1">IF($D$27&lt;C105,0,C106*$D70)</f>
        <v>1601.1565000000001</v>
      </c>
      <c r="D107" s="32">
        <f ca="1">IF($D$27&lt;D105,0,D106*$D71)</f>
        <v>1697.2258900000002</v>
      </c>
      <c r="E107" s="32">
        <f ca="1">IF($D$27&lt;E105,0,E106*$D72)</f>
        <v>1799.0594434000006</v>
      </c>
      <c r="F107" s="32">
        <f ca="1">IF($D$27&lt;F105,0,F106*$D73)</f>
        <v>1907.0030100040005</v>
      </c>
      <c r="G107" s="32">
        <f ca="1">IF($D$27&lt;G105,0,G106*$D74)</f>
        <v>2021.4231906042407</v>
      </c>
      <c r="H107" s="32">
        <f ca="1">IF($D$27&lt;H105,0,H106*$D75)</f>
        <v>2142.708582040495</v>
      </c>
      <c r="I107" s="32">
        <f ca="1">IF($D$27&lt;I105,0,I106*$D76)</f>
        <v>2271.2710969629252</v>
      </c>
      <c r="J107" s="32">
        <f ca="1">IF($D$27&lt;J105,0,J106*$D76)</f>
        <v>2339.4092298718128</v>
      </c>
      <c r="K107" s="32">
        <f ca="1">IF($D$27&lt;K105,0,K106*$D77)</f>
        <v>2409.5915067679671</v>
      </c>
      <c r="L107" s="32">
        <f ca="1">IF($D$27&lt;L105,0,L106*$D78)</f>
        <v>2481.8792519710064</v>
      </c>
      <c r="M107" s="45">
        <f ca="1">M106*E82</f>
        <v>2556.3356295301364</v>
      </c>
    </row>
    <row r="108" spans="1:22"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4"/>
    </row>
    <row r="109" spans="1:22">
      <c r="B109" s="29" t="s">
        <v>6</v>
      </c>
      <c r="C109" s="32">
        <f t="shared" ref="C109:L109" ca="1" si="5">IF($D$27&lt;C105,0,C106-C107)</f>
        <v>359.84349999999995</v>
      </c>
      <c r="D109" s="32">
        <f t="shared" ca="1" si="5"/>
        <v>381.43411000000015</v>
      </c>
      <c r="E109" s="32">
        <f t="shared" ca="1" si="5"/>
        <v>404.32015660000002</v>
      </c>
      <c r="F109" s="32">
        <f t="shared" ca="1" si="5"/>
        <v>428.57936599600021</v>
      </c>
      <c r="G109" s="32">
        <f t="shared" ca="1" si="5"/>
        <v>454.29412795576013</v>
      </c>
      <c r="H109" s="32">
        <f t="shared" ca="1" si="5"/>
        <v>481.55177563310599</v>
      </c>
      <c r="I109" s="32">
        <f t="shared" ca="1" si="5"/>
        <v>510.4448821710921</v>
      </c>
      <c r="J109" s="32">
        <f t="shared" ca="1" si="5"/>
        <v>525.75822863622489</v>
      </c>
      <c r="K109" s="32">
        <f t="shared" ca="1" si="5"/>
        <v>541.53097549531185</v>
      </c>
      <c r="L109" s="32">
        <f t="shared" ca="1" si="5"/>
        <v>557.77690476017096</v>
      </c>
      <c r="M109" s="45">
        <f ca="1">M106-M107-M108</f>
        <v>574.51021190297615</v>
      </c>
    </row>
    <row r="110" spans="1:22">
      <c r="B110" s="29" t="s">
        <v>87</v>
      </c>
      <c r="C110" s="32">
        <f ca="1">IF(C109&gt;0,IF(D42&gt;C109,0,(C109-D42)*$D$36),0)</f>
        <v>3234.7374</v>
      </c>
      <c r="D110" s="32">
        <f t="shared" ref="D110:M110" ca="1" si="6">IF(D109&gt;0,IF(C117&gt;D109,0,(D109-C117)*$D$36),0)</f>
        <v>152.57364400000006</v>
      </c>
      <c r="E110" s="32">
        <f t="shared" ca="1" si="6"/>
        <v>161.72806264000002</v>
      </c>
      <c r="F110" s="32">
        <f t="shared" ca="1" si="6"/>
        <v>171.43174639840009</v>
      </c>
      <c r="G110" s="32">
        <f t="shared" ca="1" si="6"/>
        <v>181.71765118230405</v>
      </c>
      <c r="H110" s="32">
        <f t="shared" ca="1" si="6"/>
        <v>192.62071025324241</v>
      </c>
      <c r="I110" s="32">
        <f t="shared" ca="1" si="6"/>
        <v>204.17795286843685</v>
      </c>
      <c r="J110" s="32">
        <f t="shared" ca="1" si="6"/>
        <v>210.30329145448997</v>
      </c>
      <c r="K110" s="32">
        <f t="shared" ca="1" si="6"/>
        <v>216.61239019812476</v>
      </c>
      <c r="L110" s="32">
        <f t="shared" ca="1" si="6"/>
        <v>223.1107619040684</v>
      </c>
      <c r="M110" s="32">
        <f t="shared" ca="1" si="6"/>
        <v>229.80408476119047</v>
      </c>
    </row>
    <row r="111" spans="1:22">
      <c r="B111" s="29" t="s">
        <v>86</v>
      </c>
      <c r="C111" s="32">
        <f t="shared" ref="C111:M111" ca="1" si="7">C109-C110</f>
        <v>-2874.8939</v>
      </c>
      <c r="D111" s="32">
        <f t="shared" ca="1" si="7"/>
        <v>228.86046600000009</v>
      </c>
      <c r="E111" s="32">
        <f t="shared" ca="1" si="7"/>
        <v>242.59209396</v>
      </c>
      <c r="F111" s="32">
        <f t="shared" ca="1" si="7"/>
        <v>257.14761959760011</v>
      </c>
      <c r="G111" s="32">
        <f t="shared" ca="1" si="7"/>
        <v>272.57647677345608</v>
      </c>
      <c r="H111" s="32">
        <f t="shared" ca="1" si="7"/>
        <v>288.93106537986358</v>
      </c>
      <c r="I111" s="32">
        <f t="shared" ca="1" si="7"/>
        <v>306.26692930265529</v>
      </c>
      <c r="J111" s="32">
        <f t="shared" ca="1" si="7"/>
        <v>315.45493718173492</v>
      </c>
      <c r="K111" s="32">
        <f t="shared" ca="1" si="7"/>
        <v>324.91858529718706</v>
      </c>
      <c r="L111" s="32">
        <f t="shared" ca="1" si="7"/>
        <v>334.66614285610257</v>
      </c>
      <c r="M111" s="45">
        <f t="shared" ca="1" si="7"/>
        <v>344.70612714178571</v>
      </c>
    </row>
    <row r="112" spans="1:22">
      <c r="B112" s="29" t="s">
        <v>85</v>
      </c>
      <c r="C112" s="32">
        <f ca="1">C113*-D13</f>
        <v>2902.6045189254951</v>
      </c>
      <c r="D112" s="32">
        <f ca="1">C112*(1+F71)</f>
        <v>3076.7607900610251</v>
      </c>
      <c r="E112" s="32">
        <f ca="1">IF($D$27&lt;E$105,0,D112*(1+$F72))</f>
        <v>3261.3664374646869</v>
      </c>
      <c r="F112" s="32">
        <f ca="1">IF(D27&lt;F105,0,E112*(1+$F73))</f>
        <v>3457.0484237125684</v>
      </c>
      <c r="G112" s="32">
        <f ca="1">IF(D27&lt;G105,0,F112*(1+$F74))</f>
        <v>3664.4713291353228</v>
      </c>
      <c r="H112" s="32">
        <f ca="1">IF(D27&lt;H105,0,G112*(1+$F75))</f>
        <v>3884.3396088834425</v>
      </c>
      <c r="I112" s="32">
        <f ca="1">IF(D27&lt;I105,0,H112*(1+$F76))</f>
        <v>4000.869797149946</v>
      </c>
      <c r="J112" s="32">
        <f ca="1">IF($D27&lt;J105,0,I112*(1+$F77))</f>
        <v>4120.8958910644442</v>
      </c>
      <c r="K112" s="32">
        <f ca="1">IF(D27&lt;K105,0,J112*(1+$F78))</f>
        <v>4244.5227677963776</v>
      </c>
      <c r="L112" s="32">
        <f ca="1">IF(D27&lt;L105,0,K112*(1+$F79))</f>
        <v>4371.8584508302692</v>
      </c>
      <c r="M112" s="32">
        <f ca="1">L112</f>
        <v>4371.8584508302692</v>
      </c>
      <c r="O112" s="37">
        <f t="shared" ref="O112:O119" si="8">IF($D$27&lt;O$105,0,N$112*(1+$F72))</f>
        <v>0</v>
      </c>
      <c r="P112" s="37">
        <f t="shared" ref="P112:V112" si="9">IF($D$27&lt;P$105,0,O112*(1+$F72))</f>
        <v>0</v>
      </c>
      <c r="Q112" s="37">
        <f t="shared" si="9"/>
        <v>0</v>
      </c>
      <c r="R112" s="37">
        <f t="shared" si="9"/>
        <v>0</v>
      </c>
      <c r="S112" s="37">
        <f t="shared" si="9"/>
        <v>0</v>
      </c>
      <c r="T112" s="37">
        <f t="shared" si="9"/>
        <v>0</v>
      </c>
      <c r="U112" s="37">
        <f t="shared" si="9"/>
        <v>0</v>
      </c>
      <c r="V112" s="37">
        <f t="shared" si="9"/>
        <v>0</v>
      </c>
    </row>
    <row r="113" spans="2:15">
      <c r="B113" s="29" t="s">
        <v>84</v>
      </c>
      <c r="C113" s="32">
        <f ca="1">-D12*C106</f>
        <v>-4355.8418480675264</v>
      </c>
      <c r="D113" s="45">
        <f ca="1">IF($D$27&lt;D105,0,C113*(1+$E71))</f>
        <v>-4617.1923589515782</v>
      </c>
      <c r="E113" s="45">
        <f ca="1">IF($D$27&lt;E105,0,D113*(1+$E72))</f>
        <v>-4894.2239004886733</v>
      </c>
      <c r="F113" s="45">
        <f ca="1">IF($D$27&lt;F105,0,E113*(1+$E73))</f>
        <v>-5187.8773345179943</v>
      </c>
      <c r="G113" s="45">
        <f ca="1">IF($D$27&lt;G105,0,F113*(1+$E74))</f>
        <v>-5499.1499745890742</v>
      </c>
      <c r="H113" s="45">
        <f ca="1">IF($D$27&lt;H105,0,G113*(1+$E75))</f>
        <v>-5664.1244738267469</v>
      </c>
      <c r="I113" s="45">
        <f ca="1">IF($D$27&lt;I105,0,H113*(1+$E76))</f>
        <v>-5834.0482080415495</v>
      </c>
      <c r="J113" s="45">
        <f ca="1">IF($D$27&lt;J105,0,I113*(1+$E77))</f>
        <v>-6009.0696542827964</v>
      </c>
      <c r="K113" s="45">
        <f ca="1">IF($D$27&lt;K105,0,J113*(1+$E78))</f>
        <v>-6189.34174391128</v>
      </c>
      <c r="L113" s="45">
        <f ca="1">IF($D$27&lt;L105,0,K113*(1+$E79))</f>
        <v>-6375.0219962286183</v>
      </c>
      <c r="M113" s="45">
        <f ca="1">IF(F95="Yes",M112,M112*F96)</f>
        <v>4809.044295913297</v>
      </c>
      <c r="O113" s="37">
        <f t="shared" si="8"/>
        <v>0</v>
      </c>
    </row>
    <row r="114" spans="2:15">
      <c r="B114" s="29" t="s">
        <v>83</v>
      </c>
      <c r="C114" s="32">
        <f ca="1">(C106-INPUT_SHEET!C26*D14)</f>
        <v>1942.5</v>
      </c>
      <c r="D114" s="32">
        <f ca="1">IF($D$27&lt;D105,0,(D106-C106)*$G71)</f>
        <v>1.1766000000000032</v>
      </c>
      <c r="E114" s="32">
        <f ca="1">IF($D$27&lt;E105,0,(E106-D106)*$G72)</f>
        <v>1.2471960000000035</v>
      </c>
      <c r="F114" s="32">
        <f ca="1">IF($D$27&lt;F105,0,(F106-E106)*$G73)</f>
        <v>1.3220277600000008</v>
      </c>
      <c r="G114" s="32">
        <f ca="1">IF($D$27&lt;G105,0,(G106-F106)*$G74)</f>
        <v>1.4013494256000012</v>
      </c>
      <c r="H114" s="32">
        <f ca="1">IF($D$27&lt;H105,0,(H106-G106)*$G75)</f>
        <v>1.4854303911360012</v>
      </c>
      <c r="I114" s="32">
        <f ca="1">IF($D$27&lt;I105,0,(I106-H106)*$G76)</f>
        <v>1.574556214604163</v>
      </c>
      <c r="J114" s="32">
        <f ca="1">IF($D$27&lt;J105,0,(J106-I106)*$G77)</f>
        <v>0.83451479374020443</v>
      </c>
      <c r="K114" s="32">
        <f ca="1">IF($D$27&lt;K105,0,(K106-J106)*$G78)</f>
        <v>0.859550237552412</v>
      </c>
      <c r="L114" s="32">
        <f ca="1">IF($D$27&lt;L105,0,(L106-K106)*$G79)</f>
        <v>0.88533674467898438</v>
      </c>
      <c r="M114" s="45">
        <f ca="1">(M106-(C106*$C$118+D106*$D$118+E106*$E$118+F106*$F$118+G106*$G$118+H106*$H$118+I106*$I$118+J106*$J$118+K106*$K$118+L106*$L$118))*E83</f>
        <v>774.17577725869978</v>
      </c>
      <c r="O114" s="37">
        <f t="shared" si="8"/>
        <v>0</v>
      </c>
    </row>
    <row r="115" spans="2:15" ht="15.75" customHeight="1">
      <c r="B115" s="31" t="s">
        <v>82</v>
      </c>
      <c r="C115" s="47">
        <f t="shared" ref="C115:L115" ca="1" si="10">C111+C112+C113-C114</f>
        <v>-6270.6312291420309</v>
      </c>
      <c r="D115" s="47">
        <f t="shared" ca="1" si="10"/>
        <v>-1312.747702890553</v>
      </c>
      <c r="E115" s="47">
        <f t="shared" ca="1" si="10"/>
        <v>-1391.5125650639864</v>
      </c>
      <c r="F115" s="47">
        <f t="shared" ca="1" si="10"/>
        <v>-1475.0033189678259</v>
      </c>
      <c r="G115" s="47">
        <f t="shared" ca="1" si="10"/>
        <v>-1563.5035181058952</v>
      </c>
      <c r="H115" s="47">
        <f t="shared" ca="1" si="10"/>
        <v>-1492.3392299545767</v>
      </c>
      <c r="I115" s="47">
        <f t="shared" ca="1" si="10"/>
        <v>-1528.4860378035521</v>
      </c>
      <c r="J115" s="47">
        <f t="shared" ca="1" si="10"/>
        <v>-1573.5533408303577</v>
      </c>
      <c r="K115" s="47">
        <f t="shared" ca="1" si="10"/>
        <v>-1620.759941055268</v>
      </c>
      <c r="L115" s="47">
        <f t="shared" ca="1" si="10"/>
        <v>-1669.3827392869252</v>
      </c>
      <c r="M115" s="46">
        <f ca="1">M111+M112-M113-M114</f>
        <v>-866.65549519994147</v>
      </c>
      <c r="N115" s="34"/>
      <c r="O115" s="37">
        <f t="shared" si="8"/>
        <v>0</v>
      </c>
    </row>
    <row r="116" spans="2:15">
      <c r="B116" s="29" t="s">
        <v>81</v>
      </c>
      <c r="C116" s="45">
        <f t="shared" ref="C116:L116" ca="1" si="11">IF($D$27&lt;C105,0,C115/C127)</f>
        <v>-5897.0236793876093</v>
      </c>
      <c r="D116" s="45">
        <f t="shared" ca="1" si="11"/>
        <v>-1160.9793318586076</v>
      </c>
      <c r="E116" s="45">
        <f t="shared" ca="1" si="11"/>
        <v>-1157.3160185530071</v>
      </c>
      <c r="F116" s="45">
        <f t="shared" ca="1" si="11"/>
        <v>-1153.6642643372259</v>
      </c>
      <c r="G116" s="45">
        <f t="shared" ca="1" si="11"/>
        <v>-1150.0240327381182</v>
      </c>
      <c r="H116" s="45">
        <f t="shared" ca="1" si="11"/>
        <v>-1029.5005290071913</v>
      </c>
      <c r="I116" s="45">
        <f t="shared" ca="1" si="11"/>
        <v>-986.28848082152911</v>
      </c>
      <c r="J116" s="45">
        <f t="shared" ca="1" si="11"/>
        <v>-947.20297265909448</v>
      </c>
      <c r="K116" s="45">
        <f t="shared" ca="1" si="11"/>
        <v>-907.69118964137215</v>
      </c>
      <c r="L116" s="45">
        <f t="shared" ca="1" si="11"/>
        <v>-867.51107822812264</v>
      </c>
      <c r="M116" s="45"/>
      <c r="N116" s="34"/>
      <c r="O116" s="37">
        <f t="shared" si="8"/>
        <v>0</v>
      </c>
    </row>
    <row r="117" spans="2:15">
      <c r="B117" s="29" t="s">
        <v>80</v>
      </c>
      <c r="C117" s="44">
        <f ca="1">IF(D42&gt;0,IF(D42&lt;C109,0,D42-C109),0)</f>
        <v>0</v>
      </c>
      <c r="D117" s="44">
        <f t="shared" ref="D117:L117" ca="1" si="12">IF(C117&gt;D109,C117-D109,0)</f>
        <v>0</v>
      </c>
      <c r="E117" s="44">
        <f t="shared" ca="1" si="12"/>
        <v>0</v>
      </c>
      <c r="F117" s="44">
        <f t="shared" ca="1" si="12"/>
        <v>0</v>
      </c>
      <c r="G117" s="44">
        <f t="shared" ca="1" si="12"/>
        <v>0</v>
      </c>
      <c r="H117" s="44">
        <f t="shared" ca="1" si="12"/>
        <v>0</v>
      </c>
      <c r="I117" s="44">
        <f t="shared" ca="1" si="12"/>
        <v>0</v>
      </c>
      <c r="J117" s="44">
        <f t="shared" ca="1" si="12"/>
        <v>0</v>
      </c>
      <c r="K117" s="44">
        <f t="shared" ca="1" si="12"/>
        <v>0</v>
      </c>
      <c r="L117" s="44">
        <f t="shared" ca="1" si="12"/>
        <v>0</v>
      </c>
      <c r="M117" s="44"/>
      <c r="N117" s="34"/>
      <c r="O117" s="37">
        <f t="shared" si="8"/>
        <v>0</v>
      </c>
    </row>
    <row r="118" spans="2:15">
      <c r="B118" s="29" t="s">
        <v>79</v>
      </c>
      <c r="C118" s="44">
        <f t="shared" ref="C118:L118" si="13">IF($D$27=C105,1,0)</f>
        <v>0</v>
      </c>
      <c r="D118" s="44">
        <f t="shared" si="13"/>
        <v>0</v>
      </c>
      <c r="E118" s="44">
        <f t="shared" si="13"/>
        <v>0</v>
      </c>
      <c r="F118" s="44">
        <f t="shared" si="13"/>
        <v>0</v>
      </c>
      <c r="G118" s="44">
        <f t="shared" si="13"/>
        <v>0</v>
      </c>
      <c r="H118" s="44">
        <f t="shared" si="13"/>
        <v>0</v>
      </c>
      <c r="I118" s="44">
        <f t="shared" si="13"/>
        <v>0</v>
      </c>
      <c r="J118" s="44">
        <f t="shared" si="13"/>
        <v>0</v>
      </c>
      <c r="K118" s="44">
        <f t="shared" si="13"/>
        <v>0</v>
      </c>
      <c r="L118" s="44">
        <f t="shared" si="13"/>
        <v>1</v>
      </c>
      <c r="M118" s="44"/>
      <c r="N118" s="34"/>
      <c r="O118" s="37">
        <f t="shared" si="8"/>
        <v>0</v>
      </c>
    </row>
    <row r="119" spans="2:15"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34"/>
      <c r="O119" s="37">
        <f t="shared" si="8"/>
        <v>0</v>
      </c>
    </row>
    <row r="120" spans="2:15">
      <c r="B120" s="43" t="s">
        <v>78</v>
      </c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7"/>
    </row>
    <row r="121" spans="2:15">
      <c r="B121" s="29" t="s">
        <v>30</v>
      </c>
      <c r="C121" s="42">
        <f t="shared" ref="C121:M121" ca="1" si="14">C110/C109</f>
        <v>8.9892895105789048</v>
      </c>
      <c r="D121" s="42">
        <f t="shared" ca="1" si="14"/>
        <v>0.4</v>
      </c>
      <c r="E121" s="42">
        <f t="shared" ca="1" si="14"/>
        <v>0.4</v>
      </c>
      <c r="F121" s="42">
        <f t="shared" ca="1" si="14"/>
        <v>0.4</v>
      </c>
      <c r="G121" s="42">
        <f t="shared" ca="1" si="14"/>
        <v>0.4</v>
      </c>
      <c r="H121" s="42">
        <f t="shared" ca="1" si="14"/>
        <v>0.4</v>
      </c>
      <c r="I121" s="42">
        <f t="shared" ca="1" si="14"/>
        <v>0.4</v>
      </c>
      <c r="J121" s="42">
        <f t="shared" ca="1" si="14"/>
        <v>0.4</v>
      </c>
      <c r="K121" s="42">
        <f t="shared" ca="1" si="14"/>
        <v>0.4</v>
      </c>
      <c r="L121" s="42">
        <f t="shared" ca="1" si="14"/>
        <v>0.4</v>
      </c>
      <c r="M121" s="42">
        <f t="shared" ca="1" si="14"/>
        <v>0.4</v>
      </c>
      <c r="N121" s="34"/>
      <c r="O121" s="37"/>
    </row>
    <row r="122" spans="2:15">
      <c r="B122" s="29" t="s">
        <v>77</v>
      </c>
      <c r="C122" s="41">
        <f ca="1">IF(E57="No",D60,)</f>
        <v>0.61352602612761287</v>
      </c>
      <c r="D122" s="41">
        <f ca="1">C122</f>
        <v>0.61352602612761287</v>
      </c>
      <c r="E122" s="41">
        <f ca="1">D122</f>
        <v>0.61352602612761287</v>
      </c>
      <c r="F122" s="41">
        <f ca="1">E122</f>
        <v>0.61352602612761287</v>
      </c>
      <c r="G122" s="41">
        <f ca="1">F122</f>
        <v>0.61352602612761287</v>
      </c>
      <c r="H122" s="41">
        <f ca="1">IF($E$85="Yes",$G$122-(($G$122-$E$86)/5)*(H105-5),$D$60)</f>
        <v>0.69082082090209029</v>
      </c>
      <c r="I122" s="41">
        <f ca="1">IF($E$85="Yes",$G$122-(($G$122-$E$86)/5)*(I105-5),$D$60)</f>
        <v>0.76811561567656772</v>
      </c>
      <c r="J122" s="41">
        <f ca="1">IF($E$85="Yes",$G$122-(($G$122-$E$86)/5)*(J105-5),$D$60)</f>
        <v>0.84541041045104515</v>
      </c>
      <c r="K122" s="41">
        <f ca="1">IF($E$85="Yes",$G$122-(($G$122-$E$86)/5)*(K105-5),$D$60)</f>
        <v>0.92270520522552257</v>
      </c>
      <c r="L122" s="41">
        <f ca="1">IF($E$85="Yes",$G$122-(($G$122-$E$86)/5)*(L105-5),$D$60)</f>
        <v>1</v>
      </c>
      <c r="M122" s="41">
        <f ca="1">L122</f>
        <v>1</v>
      </c>
      <c r="N122" s="34"/>
      <c r="O122" s="37"/>
    </row>
    <row r="123" spans="2:15">
      <c r="B123" s="29" t="s">
        <v>24</v>
      </c>
      <c r="C123" s="40">
        <f t="shared" ref="C123:M123" ca="1" si="15">IF($E$57="no",$D$61+C122*$D$62,$E$58)</f>
        <v>6.4541041045104525E-2</v>
      </c>
      <c r="D123" s="40">
        <f t="shared" ca="1" si="15"/>
        <v>6.4541041045104525E-2</v>
      </c>
      <c r="E123" s="40">
        <f t="shared" ca="1" si="15"/>
        <v>6.4541041045104525E-2</v>
      </c>
      <c r="F123" s="40">
        <f t="shared" ca="1" si="15"/>
        <v>6.4541041045104525E-2</v>
      </c>
      <c r="G123" s="40">
        <f t="shared" ca="1" si="15"/>
        <v>6.4541041045104525E-2</v>
      </c>
      <c r="H123" s="40">
        <f t="shared" ca="1" si="15"/>
        <v>6.7632832836083609E-2</v>
      </c>
      <c r="I123" s="40">
        <f t="shared" ca="1" si="15"/>
        <v>7.0724624627062707E-2</v>
      </c>
      <c r="J123" s="40">
        <f t="shared" ca="1" si="15"/>
        <v>7.3816416418041805E-2</v>
      </c>
      <c r="K123" s="40">
        <f t="shared" ca="1" si="15"/>
        <v>7.6908208209020903E-2</v>
      </c>
      <c r="L123" s="40">
        <f t="shared" ca="1" si="15"/>
        <v>0.08</v>
      </c>
      <c r="M123" s="40">
        <f t="shared" ca="1" si="15"/>
        <v>0.08</v>
      </c>
      <c r="N123" s="34"/>
      <c r="O123" s="37"/>
    </row>
    <row r="124" spans="2:15">
      <c r="B124" s="29" t="s">
        <v>25</v>
      </c>
      <c r="C124" s="39">
        <f t="shared" ref="C124:L124" si="16">$E$92*(1-$D$36)</f>
        <v>4.8000000000000001E-2</v>
      </c>
      <c r="D124" s="39">
        <f t="shared" si="16"/>
        <v>4.8000000000000001E-2</v>
      </c>
      <c r="E124" s="39">
        <f t="shared" si="16"/>
        <v>4.8000000000000001E-2</v>
      </c>
      <c r="F124" s="39">
        <f t="shared" si="16"/>
        <v>4.8000000000000001E-2</v>
      </c>
      <c r="G124" s="39">
        <f t="shared" si="16"/>
        <v>4.8000000000000001E-2</v>
      </c>
      <c r="H124" s="39">
        <f t="shared" si="16"/>
        <v>4.8000000000000001E-2</v>
      </c>
      <c r="I124" s="39">
        <f t="shared" si="16"/>
        <v>4.8000000000000001E-2</v>
      </c>
      <c r="J124" s="39">
        <f t="shared" si="16"/>
        <v>4.8000000000000001E-2</v>
      </c>
      <c r="K124" s="39">
        <f t="shared" si="16"/>
        <v>4.8000000000000001E-2</v>
      </c>
      <c r="L124" s="39">
        <f t="shared" si="16"/>
        <v>4.8000000000000001E-2</v>
      </c>
      <c r="M124" s="39">
        <f>L124</f>
        <v>4.8000000000000001E-2</v>
      </c>
      <c r="N124" s="34"/>
      <c r="O124" s="37"/>
    </row>
    <row r="125" spans="2:15">
      <c r="B125" s="29" t="s">
        <v>76</v>
      </c>
      <c r="C125" s="39">
        <f ca="1">$D$102</f>
        <v>7.1686374016692644E-2</v>
      </c>
      <c r="D125" s="39">
        <f ca="1">$D$102</f>
        <v>7.1686374016692644E-2</v>
      </c>
      <c r="E125" s="39">
        <f ca="1">$D$102</f>
        <v>7.1686374016692644E-2</v>
      </c>
      <c r="F125" s="39">
        <f ca="1">$D$102</f>
        <v>7.1686374016692644E-2</v>
      </c>
      <c r="G125" s="39">
        <f ca="1">$D$102</f>
        <v>7.1686374016692644E-2</v>
      </c>
      <c r="H125" s="40">
        <f ca="1">IF($F$88="Yes",$G$125-(($G$125-$F$89)/5)*(H105-5),$D$102)</f>
        <v>7.1686374016692644E-2</v>
      </c>
      <c r="I125" s="40">
        <f ca="1">IF($F$88="Yes",$G$125-(($G$125-$F$89)/5)*(I105-5),$D$102)</f>
        <v>7.1686374016692644E-2</v>
      </c>
      <c r="J125" s="40">
        <f ca="1">IF($F$88="Yes",$G$125-(($G$125-$F$89)/5)*(J105-5),$D$102)</f>
        <v>7.1686374016692644E-2</v>
      </c>
      <c r="K125" s="40">
        <f ca="1">IF($F$88="Yes",$G$125-(($G$125-$F$89)/5)*(K105-5),$D$102)</f>
        <v>7.1686374016692644E-2</v>
      </c>
      <c r="L125" s="40">
        <f ca="1">IF($F$88="Yes",$G$125-(($G$125-$F$89)/5)*(L105-5),$D$102)</f>
        <v>7.1686374016692644E-2</v>
      </c>
      <c r="M125" s="39">
        <f ca="1">L125</f>
        <v>7.1686374016692644E-2</v>
      </c>
      <c r="N125" s="34"/>
      <c r="O125" s="37"/>
    </row>
    <row r="126" spans="2:15">
      <c r="B126" s="29" t="s">
        <v>75</v>
      </c>
      <c r="C126" s="39">
        <f t="shared" ref="C126:M126" ca="1" si="17">C123*(1-C125)+C124*C125</f>
        <v>6.3355273790119696E-2</v>
      </c>
      <c r="D126" s="39">
        <f t="shared" ca="1" si="17"/>
        <v>6.3355273790119696E-2</v>
      </c>
      <c r="E126" s="39">
        <f t="shared" ca="1" si="17"/>
        <v>6.3355273790119696E-2</v>
      </c>
      <c r="F126" s="39">
        <f t="shared" ca="1" si="17"/>
        <v>6.3355273790119696E-2</v>
      </c>
      <c r="G126" s="39">
        <f t="shared" ca="1" si="17"/>
        <v>6.3355273790119696E-2</v>
      </c>
      <c r="H126" s="39">
        <f t="shared" ca="1" si="17"/>
        <v>6.622542623838891E-2</v>
      </c>
      <c r="I126" s="39">
        <f t="shared" ca="1" si="17"/>
        <v>6.9095578686658138E-2</v>
      </c>
      <c r="J126" s="39">
        <f t="shared" ca="1" si="17"/>
        <v>7.1965731134927366E-2</v>
      </c>
      <c r="K126" s="39">
        <f t="shared" ca="1" si="17"/>
        <v>7.4835883583196594E-2</v>
      </c>
      <c r="L126" s="39">
        <f t="shared" ca="1" si="17"/>
        <v>7.7706036031465836E-2</v>
      </c>
      <c r="M126" s="39">
        <f t="shared" ca="1" si="17"/>
        <v>7.7706036031465836E-2</v>
      </c>
      <c r="N126" s="34"/>
      <c r="O126" s="37"/>
    </row>
    <row r="127" spans="2:15">
      <c r="B127" s="29" t="s">
        <v>74</v>
      </c>
      <c r="C127" s="34">
        <f ca="1">1+C126</f>
        <v>1.0633552737901197</v>
      </c>
      <c r="D127" s="34">
        <f t="shared" ref="D127:L127" ca="1" si="18">C127*(1+D126)</f>
        <v>1.1307244382972605</v>
      </c>
      <c r="E127" s="34">
        <f t="shared" ca="1" si="18"/>
        <v>1.2023617946667629</v>
      </c>
      <c r="F127" s="34">
        <f t="shared" ca="1" si="18"/>
        <v>1.2785377553626553</v>
      </c>
      <c r="G127" s="34">
        <f t="shared" ca="1" si="18"/>
        <v>1.3595398649046615</v>
      </c>
      <c r="H127" s="34">
        <f t="shared" ca="1" si="18"/>
        <v>1.4495759719460546</v>
      </c>
      <c r="I127" s="34">
        <f t="shared" ca="1" si="18"/>
        <v>1.5497352625779421</v>
      </c>
      <c r="J127" s="34">
        <f t="shared" ca="1" si="18"/>
        <v>1.6612630938149424</v>
      </c>
      <c r="K127" s="34">
        <f t="shared" ca="1" si="18"/>
        <v>1.7855851853047384</v>
      </c>
      <c r="L127" s="34">
        <f t="shared" ca="1" si="18"/>
        <v>1.9243359320512801</v>
      </c>
      <c r="M127" s="34"/>
      <c r="N127" s="34"/>
      <c r="O127" s="37"/>
    </row>
    <row r="128" spans="2:15"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7"/>
    </row>
    <row r="129" spans="2:15">
      <c r="B129" s="29" t="s">
        <v>73</v>
      </c>
      <c r="E129" s="36">
        <f>E81</f>
        <v>0.03</v>
      </c>
      <c r="F129" s="34"/>
      <c r="O129" s="37"/>
    </row>
    <row r="130" spans="2:15">
      <c r="B130" s="29" t="s">
        <v>72</v>
      </c>
      <c r="E130" s="38">
        <f ca="1">M115</f>
        <v>-866.65549519994147</v>
      </c>
      <c r="F130" s="34"/>
      <c r="O130" s="37"/>
    </row>
    <row r="131" spans="2:15">
      <c r="B131" s="29" t="s">
        <v>71</v>
      </c>
      <c r="E131" s="36">
        <f>IF(E85="No",D61+D60*D62,D61+E86*D62)</f>
        <v>0.08</v>
      </c>
      <c r="F131" s="34"/>
      <c r="O131" s="37"/>
    </row>
    <row r="132" spans="2:15">
      <c r="B132" s="29" t="s">
        <v>70</v>
      </c>
      <c r="E132" s="36">
        <f ca="1">IF(F88="Yes",1-F89,D100)</f>
        <v>0.92831362598330736</v>
      </c>
      <c r="F132" s="34"/>
      <c r="O132" s="37" t="e">
        <f>IF($D$27&lt;O$105,0,N$112*(1+$F92))</f>
        <v>#VALUE!</v>
      </c>
    </row>
    <row r="133" spans="2:15">
      <c r="B133" s="29" t="s">
        <v>69</v>
      </c>
      <c r="E133" s="36">
        <f>IF(E91="Yes",E92*(1-D36),D101)</f>
        <v>1.9800000000000002E-2</v>
      </c>
      <c r="F133" s="34"/>
    </row>
    <row r="134" spans="2:15">
      <c r="B134" s="29" t="s">
        <v>68</v>
      </c>
      <c r="E134" s="36">
        <f ca="1">1-E132</f>
        <v>7.1686374016692644E-2</v>
      </c>
      <c r="F134" s="34"/>
    </row>
    <row r="135" spans="2:15">
      <c r="B135" s="29" t="s">
        <v>67</v>
      </c>
      <c r="E135" s="36">
        <f ca="1">E131*E132+E133*E134</f>
        <v>7.568448028419511E-2</v>
      </c>
      <c r="F135" s="34"/>
    </row>
    <row r="136" spans="2:15" s="31" customFormat="1">
      <c r="B136" s="29" t="s">
        <v>66</v>
      </c>
      <c r="C136" s="29"/>
      <c r="D136" s="29"/>
      <c r="E136" s="35">
        <f ca="1">E130/(E135-E129)</f>
        <v>-18970.457577904577</v>
      </c>
      <c r="F136" s="33"/>
    </row>
    <row r="137" spans="2:15">
      <c r="E137" s="34"/>
      <c r="F137" s="34"/>
    </row>
    <row r="138" spans="2:15">
      <c r="B138" s="31" t="s">
        <v>65</v>
      </c>
      <c r="C138" s="31"/>
      <c r="D138" s="31"/>
      <c r="E138" s="33"/>
      <c r="F138" s="32">
        <f ca="1">SUM(C116:L116)</f>
        <v>-15257.201577231877</v>
      </c>
    </row>
    <row r="139" spans="2:15">
      <c r="B139" s="31" t="s">
        <v>64</v>
      </c>
      <c r="C139" s="31"/>
      <c r="D139" s="31"/>
      <c r="E139" s="33"/>
      <c r="F139" s="32">
        <f ca="1">E136/L127</f>
        <v>-9858.1839386445808</v>
      </c>
    </row>
    <row r="140" spans="2:15">
      <c r="B140" s="31" t="s">
        <v>63</v>
      </c>
      <c r="C140" s="31"/>
      <c r="D140" s="31"/>
      <c r="E140" s="33"/>
      <c r="F140" s="32">
        <f ca="1">F138+F139</f>
        <v>-25115.385515876456</v>
      </c>
    </row>
    <row r="141" spans="2:15">
      <c r="B141" s="31" t="s">
        <v>62</v>
      </c>
      <c r="C141" s="31"/>
      <c r="D141" s="31"/>
      <c r="E141" s="33"/>
      <c r="F141" s="32">
        <f ca="1">IF(F45="Yes",F49,D40)</f>
        <v>3965</v>
      </c>
    </row>
    <row r="142" spans="2:15">
      <c r="B142" s="31" t="s">
        <v>61</v>
      </c>
      <c r="C142" s="31"/>
      <c r="D142" s="31"/>
      <c r="E142" s="31"/>
      <c r="F142" s="32">
        <f ca="1">F140-F141</f>
        <v>-29080.385515876456</v>
      </c>
    </row>
    <row r="143" spans="2:15">
      <c r="B143" s="31" t="s">
        <v>60</v>
      </c>
      <c r="C143" s="31"/>
      <c r="D143" s="31"/>
      <c r="E143" s="31"/>
      <c r="F143" s="32"/>
    </row>
    <row r="144" spans="2:15">
      <c r="B144" s="31" t="s">
        <v>59</v>
      </c>
      <c r="C144" s="31"/>
      <c r="D144" s="31"/>
      <c r="E144" s="31"/>
      <c r="F144" s="32">
        <f ca="1">F142-F143</f>
        <v>-29080.385515876456</v>
      </c>
    </row>
    <row r="145" spans="2:6">
      <c r="B145" s="31" t="s">
        <v>58</v>
      </c>
      <c r="F145" s="30">
        <f ca="1">F144/F48</f>
        <v>-20.279208867417335</v>
      </c>
    </row>
  </sheetData>
  <printOptions gridLinesSet="0"/>
  <pageMargins left="0.75" right="0.75" top="1" bottom="1" header="0.5" footer="0.5"/>
  <pageSetup orientation="portrait" horizontalDpi="4294967292" verticalDpi="4294967292" r:id="rId1"/>
  <headerFooter alignWithMargins="0">
    <oddHeader>&amp;C General FCFF Discount Model</oddHeader>
    <oddFooter>Page &amp;p</oddFooter>
  </headerFooter>
  <rowBreaks count="3" manualBreakCount="3">
    <brk id="19" max="65535" man="1"/>
    <brk id="88" max="65535" man="1"/>
    <brk id="96" max="65535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77"/>
  <sheetViews>
    <sheetView topLeftCell="B49" zoomScale="110" zoomScaleNormal="110" workbookViewId="0">
      <selection activeCell="C81" sqref="C81"/>
    </sheetView>
  </sheetViews>
  <sheetFormatPr defaultRowHeight="12.75"/>
  <cols>
    <col min="1" max="1" width="9.140625" style="1"/>
    <col min="2" max="2" width="25" style="1" customWidth="1"/>
    <col min="3" max="3" width="11.28515625" style="1" customWidth="1"/>
    <col min="4" max="4" width="9.140625" style="1"/>
    <col min="5" max="5" width="14" style="2" customWidth="1"/>
    <col min="6" max="7" width="9.140625" style="1"/>
    <col min="8" max="8" width="30.85546875" style="1" bestFit="1" customWidth="1"/>
    <col min="9" max="9" width="10" style="1" bestFit="1" customWidth="1"/>
    <col min="10" max="16384" width="9.140625" style="1"/>
  </cols>
  <sheetData>
    <row r="2" spans="2:9">
      <c r="B2" s="24" t="s">
        <v>57</v>
      </c>
      <c r="C2" s="23">
        <f t="shared" ref="C2:C14" ca="1" si="0">RANDBETWEEN(1000,5000)</f>
        <v>4968</v>
      </c>
      <c r="E2" s="28"/>
      <c r="H2" s="1" t="s">
        <v>200</v>
      </c>
      <c r="I2" s="1">
        <f ca="1">RANDBETWEEN(1000,7000)</f>
        <v>5774</v>
      </c>
    </row>
    <row r="3" spans="2:9">
      <c r="B3" s="24" t="s">
        <v>56</v>
      </c>
      <c r="C3" s="23">
        <f t="shared" ca="1" si="0"/>
        <v>3353</v>
      </c>
      <c r="E3" s="13"/>
      <c r="H3" s="1" t="s">
        <v>201</v>
      </c>
      <c r="I3" s="1">
        <f t="shared" ref="I3:I4" ca="1" si="1">RANDBETWEEN(1000,7000)</f>
        <v>2074</v>
      </c>
    </row>
    <row r="4" spans="2:9">
      <c r="B4" s="27" t="s">
        <v>55</v>
      </c>
      <c r="C4" s="23">
        <f t="shared" ca="1" si="0"/>
        <v>2972</v>
      </c>
      <c r="E4" s="9"/>
      <c r="H4" s="1" t="s">
        <v>154</v>
      </c>
      <c r="I4" s="1">
        <f t="shared" ca="1" si="1"/>
        <v>2759</v>
      </c>
    </row>
    <row r="5" spans="2:9">
      <c r="B5" s="27" t="s">
        <v>54</v>
      </c>
      <c r="C5" s="23">
        <f t="shared" ca="1" si="0"/>
        <v>2136</v>
      </c>
      <c r="E5" s="13"/>
      <c r="H5" s="1" t="s">
        <v>202</v>
      </c>
      <c r="I5" s="151">
        <f ca="1">SUM(C2:C7)-C18</f>
        <v>15706</v>
      </c>
    </row>
    <row r="6" spans="2:9">
      <c r="B6" s="24" t="s">
        <v>53</v>
      </c>
      <c r="C6" s="23">
        <f t="shared" ca="1" si="0"/>
        <v>1418</v>
      </c>
      <c r="E6" s="13"/>
      <c r="H6" s="1" t="s">
        <v>203</v>
      </c>
      <c r="I6" s="1">
        <f ca="1">RANDBETWEEN(1000,5000)</f>
        <v>3410</v>
      </c>
    </row>
    <row r="7" spans="2:9">
      <c r="B7" s="24" t="s">
        <v>52</v>
      </c>
      <c r="C7" s="23">
        <f t="shared" ca="1" si="0"/>
        <v>2057</v>
      </c>
      <c r="E7" s="13"/>
      <c r="H7" s="1" t="s">
        <v>204</v>
      </c>
      <c r="I7" s="1">
        <f ca="1">-RANDBETWEEN(1000,10000)</f>
        <v>-7727</v>
      </c>
    </row>
    <row r="8" spans="2:9">
      <c r="B8" s="26" t="s">
        <v>51</v>
      </c>
      <c r="C8" s="23">
        <f t="shared" ca="1" si="0"/>
        <v>1166</v>
      </c>
      <c r="E8" s="13"/>
      <c r="H8" s="1" t="s">
        <v>188</v>
      </c>
      <c r="I8" s="1">
        <f ca="1">RANDBETWEEN(0,1)*RAND()</f>
        <v>0</v>
      </c>
    </row>
    <row r="9" spans="2:9">
      <c r="B9" s="25" t="s">
        <v>50</v>
      </c>
      <c r="C9" s="23">
        <f t="shared" ca="1" si="0"/>
        <v>3288</v>
      </c>
      <c r="E9" s="13"/>
    </row>
    <row r="10" spans="2:9">
      <c r="B10" s="25" t="s">
        <v>49</v>
      </c>
      <c r="C10" s="23">
        <f t="shared" ca="1" si="0"/>
        <v>1740</v>
      </c>
      <c r="E10" s="13"/>
    </row>
    <row r="11" spans="2:9">
      <c r="B11" s="24" t="s">
        <v>48</v>
      </c>
      <c r="C11" s="23">
        <f t="shared" ca="1" si="0"/>
        <v>1747</v>
      </c>
      <c r="E11" s="9"/>
    </row>
    <row r="12" spans="2:9">
      <c r="B12" s="24" t="s">
        <v>47</v>
      </c>
      <c r="C12" s="23">
        <f t="shared" ca="1" si="0"/>
        <v>2517</v>
      </c>
      <c r="E12" s="13"/>
    </row>
    <row r="13" spans="2:9">
      <c r="B13" s="24" t="s">
        <v>46</v>
      </c>
      <c r="C13" s="23">
        <f t="shared" ca="1" si="0"/>
        <v>1839</v>
      </c>
      <c r="E13" s="13"/>
    </row>
    <row r="14" spans="2:9">
      <c r="B14" s="24" t="s">
        <v>45</v>
      </c>
      <c r="C14" s="23">
        <f t="shared" ca="1" si="0"/>
        <v>4891</v>
      </c>
      <c r="E14" s="13"/>
    </row>
    <row r="15" spans="2:9">
      <c r="E15" s="9"/>
    </row>
    <row r="16" spans="2:9">
      <c r="B16" s="22" t="s">
        <v>44</v>
      </c>
      <c r="C16" s="1">
        <f ca="1">SUM(C2:C14)</f>
        <v>34092</v>
      </c>
      <c r="E16" s="13"/>
    </row>
    <row r="17" spans="2:5">
      <c r="E17" s="9"/>
    </row>
    <row r="18" spans="2:5">
      <c r="B18" s="21" t="s">
        <v>43</v>
      </c>
      <c r="C18" s="20">
        <f ca="1">RANDBETWEEN(1000,5000)</f>
        <v>1198</v>
      </c>
      <c r="E18" s="13"/>
    </row>
    <row r="19" spans="2:5">
      <c r="B19" s="19" t="s">
        <v>42</v>
      </c>
      <c r="C19" s="18">
        <f ca="1">RANDBETWEEN(1000,5000)</f>
        <v>2767</v>
      </c>
      <c r="E19" s="13"/>
    </row>
    <row r="20" spans="2:5">
      <c r="B20" s="17" t="s">
        <v>41</v>
      </c>
      <c r="C20" s="16">
        <f ca="1">SUM(C18:C19)</f>
        <v>3965</v>
      </c>
      <c r="E20" s="13"/>
    </row>
    <row r="21" spans="2:5">
      <c r="B21" s="15" t="s">
        <v>40</v>
      </c>
      <c r="C21" s="14">
        <f ca="1">C16+C20</f>
        <v>38057</v>
      </c>
      <c r="E21" s="9"/>
    </row>
    <row r="22" spans="2:5">
      <c r="E22" s="13"/>
    </row>
    <row r="23" spans="2:5">
      <c r="B23" s="1" t="s">
        <v>39</v>
      </c>
      <c r="C23" s="1">
        <f ca="1">RANDBETWEEN(1000,2000)</f>
        <v>1434</v>
      </c>
      <c r="E23" s="11"/>
    </row>
    <row r="24" spans="2:5">
      <c r="B24" s="1" t="s">
        <v>38</v>
      </c>
      <c r="C24" s="1">
        <f ca="1">RANDBETWEEN(20,100)*RAND()</f>
        <v>35.805698606689667</v>
      </c>
      <c r="E24" s="11"/>
    </row>
    <row r="25" spans="2:5">
      <c r="B25" s="1" t="s">
        <v>37</v>
      </c>
      <c r="E25" s="9"/>
    </row>
    <row r="26" spans="2:5">
      <c r="B26" s="1">
        <v>2012</v>
      </c>
      <c r="C26" s="1">
        <f ca="1">RANDBETWEEN(1000,5000)</f>
        <v>1850</v>
      </c>
      <c r="E26" s="12"/>
    </row>
    <row r="27" spans="2:5">
      <c r="B27" s="1">
        <v>2011</v>
      </c>
      <c r="C27" s="1">
        <f ca="1">RANDBETWEEN(1000,5000)</f>
        <v>1642</v>
      </c>
      <c r="E27" s="11"/>
    </row>
    <row r="28" spans="2:5">
      <c r="B28" s="1">
        <v>2010</v>
      </c>
      <c r="C28" s="1">
        <f ca="1">RANDBETWEEN(1000,5000)</f>
        <v>2225</v>
      </c>
      <c r="E28" s="11"/>
    </row>
    <row r="29" spans="2:5">
      <c r="B29" s="1">
        <v>2009</v>
      </c>
      <c r="C29" s="1">
        <f ca="1">RANDBETWEEN(1000,5000)</f>
        <v>3076</v>
      </c>
      <c r="E29" s="7"/>
    </row>
    <row r="30" spans="2:5">
      <c r="B30" s="1">
        <v>2008</v>
      </c>
      <c r="C30" s="1">
        <f ca="1">RANDBETWEEN(1000,5000)</f>
        <v>2251</v>
      </c>
      <c r="E30" s="9"/>
    </row>
    <row r="31" spans="2:5">
      <c r="E31" s="7"/>
    </row>
    <row r="32" spans="2:5">
      <c r="B32" s="1" t="s">
        <v>36</v>
      </c>
      <c r="E32" s="9"/>
    </row>
    <row r="33" spans="2:5">
      <c r="B33" s="1">
        <v>2012</v>
      </c>
      <c r="C33" s="1">
        <f ca="1">RANDBETWEEN(1000,5000)</f>
        <v>2230</v>
      </c>
      <c r="E33" s="8"/>
    </row>
    <row r="34" spans="2:5">
      <c r="B34" s="1">
        <v>2011</v>
      </c>
      <c r="C34" s="1">
        <f ca="1">RANDBETWEEN(1000,5000)</f>
        <v>2983</v>
      </c>
      <c r="E34" s="9"/>
    </row>
    <row r="35" spans="2:5">
      <c r="B35" s="1">
        <v>2010</v>
      </c>
      <c r="C35" s="1">
        <f ca="1">RANDBETWEEN(1000,5000)</f>
        <v>2993</v>
      </c>
      <c r="E35" s="7"/>
    </row>
    <row r="36" spans="2:5">
      <c r="E36" s="7"/>
    </row>
    <row r="37" spans="2:5">
      <c r="B37" s="1" t="s">
        <v>35</v>
      </c>
      <c r="C37" s="1">
        <f ca="1">RANDBETWEEN(5000,10000)</f>
        <v>8659</v>
      </c>
      <c r="E37" s="9"/>
    </row>
    <row r="38" spans="2:5">
      <c r="E38" s="9"/>
    </row>
    <row r="39" spans="2:5">
      <c r="B39" s="1" t="s">
        <v>34</v>
      </c>
      <c r="C39" s="1">
        <f ca="1">RANDBETWEEN(4000,7000)</f>
        <v>5717</v>
      </c>
      <c r="E39" s="7"/>
    </row>
    <row r="40" spans="2:5">
      <c r="C40" s="1">
        <f ca="1">RANDBETWEEN(4000,7000)</f>
        <v>5312</v>
      </c>
      <c r="E40" s="7"/>
    </row>
    <row r="41" spans="2:5">
      <c r="E41" s="7"/>
    </row>
    <row r="42" spans="2:5">
      <c r="B42" s="1" t="s">
        <v>33</v>
      </c>
      <c r="C42" s="5">
        <f ca="1">(C48*C50)+(C49*C51)</f>
        <v>6.4541041045104525E-2</v>
      </c>
      <c r="E42" s="7"/>
    </row>
    <row r="43" spans="2:5">
      <c r="B43" s="3" t="s">
        <v>32</v>
      </c>
      <c r="C43" s="10">
        <v>0.04</v>
      </c>
      <c r="E43" s="9"/>
    </row>
    <row r="44" spans="2:5">
      <c r="B44" s="3" t="s">
        <v>31</v>
      </c>
      <c r="C44" s="5">
        <v>1.4999999999999999E-2</v>
      </c>
      <c r="E44" s="7"/>
    </row>
    <row r="45" spans="2:5">
      <c r="B45" s="3" t="s">
        <v>30</v>
      </c>
      <c r="C45" s="5">
        <v>0.4</v>
      </c>
      <c r="E45" s="8"/>
    </row>
    <row r="46" spans="2:5">
      <c r="B46" s="3" t="s">
        <v>29</v>
      </c>
      <c r="C46" s="152">
        <f ca="1">RANDBETWEEN(0,2)*RAND()</f>
        <v>0.61352602612761287</v>
      </c>
      <c r="E46" s="7"/>
    </row>
    <row r="47" spans="2:5">
      <c r="B47" s="3" t="s">
        <v>28</v>
      </c>
      <c r="C47" s="5">
        <v>0.04</v>
      </c>
    </row>
    <row r="48" spans="2:5">
      <c r="B48" s="3" t="s">
        <v>27</v>
      </c>
      <c r="C48" s="5">
        <f ca="1">RANDBETWEEN(0,1)*RAND()</f>
        <v>0</v>
      </c>
    </row>
    <row r="49" spans="2:3">
      <c r="B49" s="3" t="s">
        <v>26</v>
      </c>
      <c r="C49" s="5">
        <f ca="1">1-C48</f>
        <v>1</v>
      </c>
    </row>
    <row r="50" spans="2:3">
      <c r="B50" s="3" t="s">
        <v>25</v>
      </c>
      <c r="C50" s="5">
        <f>(1-C45)*(C43+C44)</f>
        <v>3.3000000000000002E-2</v>
      </c>
    </row>
    <row r="51" spans="2:3">
      <c r="B51" s="3" t="s">
        <v>24</v>
      </c>
      <c r="C51" s="5">
        <f ca="1">C43+(C46*C47)</f>
        <v>6.4541041045104525E-2</v>
      </c>
    </row>
    <row r="53" spans="2:3">
      <c r="B53" s="6" t="s">
        <v>23</v>
      </c>
      <c r="C53" s="5">
        <v>0.7</v>
      </c>
    </row>
    <row r="54" spans="2:3">
      <c r="B54" s="3" t="s">
        <v>22</v>
      </c>
      <c r="C54" s="5">
        <v>0.2</v>
      </c>
    </row>
    <row r="55" spans="2:3">
      <c r="B55" s="3" t="s">
        <v>21</v>
      </c>
      <c r="C55" s="5">
        <v>0.3</v>
      </c>
    </row>
    <row r="56" spans="2:3">
      <c r="B56" s="3" t="s">
        <v>20</v>
      </c>
      <c r="C56" s="5">
        <v>0.1</v>
      </c>
    </row>
    <row r="57" spans="2:3">
      <c r="B57" s="3" t="s">
        <v>19</v>
      </c>
      <c r="C57" s="5">
        <v>0.25</v>
      </c>
    </row>
    <row r="58" spans="2:3">
      <c r="B58" s="3" t="s">
        <v>18</v>
      </c>
      <c r="C58" s="5">
        <v>0.15</v>
      </c>
    </row>
    <row r="59" spans="2:3">
      <c r="B59" s="3" t="s">
        <v>17</v>
      </c>
    </row>
    <row r="60" spans="2:3">
      <c r="B60" s="3" t="s">
        <v>16</v>
      </c>
    </row>
    <row r="61" spans="2:3">
      <c r="B61" s="3" t="s">
        <v>15</v>
      </c>
    </row>
    <row r="62" spans="2:3">
      <c r="B62" s="3" t="s">
        <v>14</v>
      </c>
    </row>
    <row r="63" spans="2:3">
      <c r="B63" s="3" t="s">
        <v>13</v>
      </c>
    </row>
    <row r="65" spans="2:7">
      <c r="B65" s="3" t="s">
        <v>12</v>
      </c>
    </row>
    <row r="66" spans="2:7">
      <c r="B66" s="3" t="s">
        <v>11</v>
      </c>
      <c r="C66" s="5">
        <v>0.03</v>
      </c>
    </row>
    <row r="67" spans="2:7">
      <c r="B67" s="3" t="s">
        <v>10</v>
      </c>
      <c r="C67" s="5">
        <v>5.5E-2</v>
      </c>
    </row>
    <row r="68" spans="2:7">
      <c r="B68" s="3" t="s">
        <v>9</v>
      </c>
      <c r="C68" s="1">
        <v>1500</v>
      </c>
    </row>
    <row r="69" spans="2:7">
      <c r="B69" s="3" t="s">
        <v>8</v>
      </c>
      <c r="C69" s="1">
        <v>5000</v>
      </c>
      <c r="D69" s="1">
        <v>4576</v>
      </c>
      <c r="E69" s="2">
        <v>9678</v>
      </c>
      <c r="F69" s="4">
        <v>4735</v>
      </c>
      <c r="G69" s="4">
        <v>8756</v>
      </c>
    </row>
    <row r="70" spans="2:7">
      <c r="B70" s="3" t="s">
        <v>7</v>
      </c>
      <c r="C70" s="1">
        <v>0.01</v>
      </c>
    </row>
    <row r="71" spans="2:7">
      <c r="B71" s="3" t="s">
        <v>6</v>
      </c>
      <c r="C71" s="1">
        <v>67900</v>
      </c>
    </row>
    <row r="72" spans="2:7">
      <c r="B72" s="3" t="s">
        <v>5</v>
      </c>
      <c r="C72" s="1">
        <f>C71*(1-C45)</f>
        <v>40740</v>
      </c>
    </row>
    <row r="73" spans="2:7">
      <c r="B73" s="3" t="s">
        <v>4</v>
      </c>
      <c r="C73" s="1">
        <v>0.67</v>
      </c>
    </row>
    <row r="74" spans="2:7">
      <c r="B74" s="3" t="s">
        <v>3</v>
      </c>
      <c r="C74" s="1">
        <v>56790</v>
      </c>
    </row>
    <row r="75" spans="2:7">
      <c r="B75" s="3" t="s">
        <v>2</v>
      </c>
      <c r="C75" s="1">
        <v>75647</v>
      </c>
    </row>
    <row r="76" spans="2:7">
      <c r="B76" s="3" t="s">
        <v>1</v>
      </c>
      <c r="C76" s="1">
        <v>36472</v>
      </c>
    </row>
    <row r="77" spans="2:7">
      <c r="B77" s="3" t="s">
        <v>0</v>
      </c>
      <c r="C77" s="1">
        <v>7.0000000000000007E-2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1788"/>
  <sheetViews>
    <sheetView tabSelected="1" topLeftCell="A31" zoomScale="70" zoomScaleNormal="70" workbookViewId="0">
      <selection activeCell="G33" sqref="G33"/>
    </sheetView>
  </sheetViews>
  <sheetFormatPr defaultRowHeight="15"/>
  <cols>
    <col min="1" max="1" width="86" customWidth="1"/>
    <col min="2" max="2" width="15.140625" bestFit="1" customWidth="1"/>
    <col min="3" max="4" width="11.28515625" bestFit="1" customWidth="1"/>
    <col min="6" max="6" width="54" bestFit="1" customWidth="1"/>
    <col min="7" max="7" width="10.7109375" bestFit="1" customWidth="1"/>
    <col min="8" max="8" width="11.28515625" bestFit="1" customWidth="1"/>
    <col min="9" max="9" width="10.7109375" bestFit="1" customWidth="1"/>
    <col min="10" max="26" width="10" bestFit="1" customWidth="1"/>
  </cols>
  <sheetData>
    <row r="1" spans="1:27" ht="24.75" thickBot="1">
      <c r="A1" s="101" t="s">
        <v>170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</row>
    <row r="2" spans="1:27">
      <c r="A2" s="103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4"/>
    </row>
    <row r="3" spans="1:27">
      <c r="A3" s="105" t="s">
        <v>171</v>
      </c>
      <c r="B3" s="106" t="b">
        <v>1</v>
      </c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4"/>
    </row>
    <row r="4" spans="1:27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4"/>
    </row>
    <row r="5" spans="1:27">
      <c r="A5" s="107"/>
      <c r="B5" s="107" t="s">
        <v>169</v>
      </c>
      <c r="C5" s="107" t="s">
        <v>168</v>
      </c>
      <c r="D5" s="107" t="s">
        <v>167</v>
      </c>
      <c r="E5" s="108"/>
      <c r="F5" s="109" t="str">
        <f t="array" aca="1" ref="F5:AA37" ca="1">IF(B3=FALSE,"--",DCF_MULTI_STAGE_FCF_FUNC(B6,B7,B8,B9,B11,B12,B13,B15,B16,B17,B18,B19,B21,B22,B23,B24,B25,B27,B28,B29,B30,B31,B33,B34,B35,OFFSET(A41,0,0,B37,1),OFFSET(B41,0,0,B37,1),OFFSET(C41,0,0,B37,1),OFFSET(D41,0,0,B37,1),OFFSET(E41,0,0,B37,1),B37,B38,1))</f>
        <v>Periods</v>
      </c>
      <c r="G5" s="110">
        <f ca="1"/>
        <v>1</v>
      </c>
      <c r="H5" s="110">
        <f ca="1"/>
        <v>2</v>
      </c>
      <c r="I5" s="110">
        <f ca="1"/>
        <v>3</v>
      </c>
      <c r="J5" s="110">
        <f ca="1"/>
        <v>4</v>
      </c>
      <c r="K5" s="110">
        <f ca="1"/>
        <v>5</v>
      </c>
      <c r="L5" s="110">
        <f ca="1"/>
        <v>6</v>
      </c>
      <c r="M5" s="110">
        <f ca="1"/>
        <v>7</v>
      </c>
      <c r="N5" s="110">
        <f ca="1"/>
        <v>8</v>
      </c>
      <c r="O5" s="110">
        <f ca="1"/>
        <v>9</v>
      </c>
      <c r="P5" s="110">
        <f ca="1"/>
        <v>10</v>
      </c>
      <c r="Q5" s="110">
        <f ca="1"/>
        <v>11</v>
      </c>
      <c r="R5" s="110">
        <f ca="1"/>
        <v>12</v>
      </c>
      <c r="S5" s="110">
        <f ca="1"/>
        <v>13</v>
      </c>
      <c r="T5" s="110">
        <f ca="1"/>
        <v>14</v>
      </c>
      <c r="U5" s="110">
        <f ca="1"/>
        <v>15</v>
      </c>
      <c r="V5" s="110">
        <f ca="1"/>
        <v>16</v>
      </c>
      <c r="W5" s="110">
        <f ca="1"/>
        <v>17</v>
      </c>
      <c r="X5" s="110">
        <f ca="1"/>
        <v>18</v>
      </c>
      <c r="Y5" s="110">
        <f ca="1"/>
        <v>19</v>
      </c>
      <c r="Z5" s="110">
        <f ca="1"/>
        <v>20</v>
      </c>
      <c r="AA5" s="111" t="str">
        <f ca="1"/>
        <v>TN</v>
      </c>
    </row>
    <row r="6" spans="1:27">
      <c r="A6" s="112" t="s">
        <v>172</v>
      </c>
      <c r="B6" s="153">
        <f>IF($B$3=FALSE,"-",IF(D6=0,C6,D6))</f>
        <v>108249</v>
      </c>
      <c r="C6" s="113">
        <f ca="1">INPUT_SHEET!C26</f>
        <v>1850</v>
      </c>
      <c r="D6" s="155">
        <v>108249</v>
      </c>
      <c r="E6" s="108"/>
      <c r="F6" s="112" t="str">
        <f ca="1"/>
        <v>Revenues</v>
      </c>
      <c r="G6" s="113">
        <f ca="1"/>
        <v>114743.94</v>
      </c>
      <c r="H6" s="113">
        <f ca="1"/>
        <v>121628.57640000001</v>
      </c>
      <c r="I6" s="113">
        <f ca="1"/>
        <v>128926.29098400001</v>
      </c>
      <c r="J6" s="113">
        <f ca="1"/>
        <v>136661.86844304</v>
      </c>
      <c r="K6" s="113">
        <f ca="1"/>
        <v>144861.58054962242</v>
      </c>
      <c r="L6" s="113">
        <f ca="1"/>
        <v>153553.27538259976</v>
      </c>
      <c r="M6" s="113">
        <f ca="1"/>
        <v>162766.47190555575</v>
      </c>
      <c r="N6" s="113">
        <f ca="1"/>
        <v>167649.46606272244</v>
      </c>
      <c r="O6" s="113">
        <f ca="1"/>
        <v>172678.95004460411</v>
      </c>
      <c r="P6" s="113">
        <f ca="1"/>
        <v>177859.31854594222</v>
      </c>
      <c r="Q6" s="113">
        <f ca="1"/>
        <v>183195.09810232051</v>
      </c>
      <c r="R6" s="113">
        <f ca="1"/>
        <v>188690.95104539013</v>
      </c>
      <c r="S6" s="113">
        <f ca="1"/>
        <v>194351.67957675183</v>
      </c>
      <c r="T6" s="113">
        <f ca="1"/>
        <v>200182.22996405439</v>
      </c>
      <c r="U6" s="113">
        <f ca="1"/>
        <v>206187.69686297604</v>
      </c>
      <c r="V6" s="113">
        <f ca="1"/>
        <v>212373.32776886533</v>
      </c>
      <c r="W6" s="113">
        <f ca="1"/>
        <v>218744.5276019313</v>
      </c>
      <c r="X6" s="113">
        <f ca="1"/>
        <v>225306.86342998926</v>
      </c>
      <c r="Y6" s="113">
        <f ca="1"/>
        <v>232066.06933288893</v>
      </c>
      <c r="Z6" s="113">
        <f ca="1"/>
        <v>239028.05141287562</v>
      </c>
      <c r="AA6" s="113">
        <f ca="1"/>
        <v>246198.89295526189</v>
      </c>
    </row>
    <row r="7" spans="1:27">
      <c r="A7" s="112" t="s">
        <v>173</v>
      </c>
      <c r="B7" s="153">
        <f>IF($B$3=FALSE,"-",IF(D7=0,C7,D7))</f>
        <v>7696</v>
      </c>
      <c r="C7" s="113">
        <f ca="1">INPUT_SHEET!I4</f>
        <v>2759</v>
      </c>
      <c r="D7" s="155">
        <v>7696</v>
      </c>
      <c r="E7" s="108"/>
      <c r="F7" s="112" t="str">
        <f ca="1"/>
        <v>- COGS</v>
      </c>
      <c r="G7" s="113">
        <f ca="1"/>
        <v>93688.427009999999</v>
      </c>
      <c r="H7" s="113">
        <f ca="1"/>
        <v>99309.732630600003</v>
      </c>
      <c r="I7" s="113">
        <f ca="1"/>
        <v>105268.31658843601</v>
      </c>
      <c r="J7" s="113">
        <f ca="1"/>
        <v>111584.41558374216</v>
      </c>
      <c r="K7" s="113">
        <f ca="1"/>
        <v>118279.48051876671</v>
      </c>
      <c r="L7" s="113">
        <f ca="1"/>
        <v>125376.24934989271</v>
      </c>
      <c r="M7" s="113">
        <f ca="1"/>
        <v>132898.82431088627</v>
      </c>
      <c r="N7" s="113">
        <f ca="1"/>
        <v>136885.78904021287</v>
      </c>
      <c r="O7" s="113">
        <f ca="1"/>
        <v>140992.36271141926</v>
      </c>
      <c r="P7" s="113">
        <f ca="1"/>
        <v>145222.13359276182</v>
      </c>
      <c r="Q7" s="113">
        <f ca="1"/>
        <v>149578.7976005447</v>
      </c>
      <c r="R7" s="113">
        <f ca="1"/>
        <v>154066.16152856103</v>
      </c>
      <c r="S7" s="113">
        <f ca="1"/>
        <v>158688.14637441788</v>
      </c>
      <c r="T7" s="113">
        <f ca="1"/>
        <v>163448.79076565042</v>
      </c>
      <c r="U7" s="113">
        <f ca="1"/>
        <v>168352.25448861995</v>
      </c>
      <c r="V7" s="113">
        <f ca="1"/>
        <v>173402.82212327854</v>
      </c>
      <c r="W7" s="113">
        <f ca="1"/>
        <v>178604.90678697691</v>
      </c>
      <c r="X7" s="113">
        <f ca="1"/>
        <v>183963.05399058622</v>
      </c>
      <c r="Y7" s="113">
        <f ca="1"/>
        <v>189481.94561030381</v>
      </c>
      <c r="Z7" s="113">
        <f ca="1"/>
        <v>195166.40397861294</v>
      </c>
      <c r="AA7" s="113">
        <f ca="1"/>
        <v>201021.39609797133</v>
      </c>
    </row>
    <row r="8" spans="1:27">
      <c r="A8" s="112" t="s">
        <v>174</v>
      </c>
      <c r="B8" s="153">
        <f>IF($B$3=FALSE,"-",IF(D8=0,C8,D8))</f>
        <v>1814</v>
      </c>
      <c r="C8" s="113">
        <f>INPUT_SHEET!C68</f>
        <v>1500</v>
      </c>
      <c r="D8" s="155">
        <v>1814</v>
      </c>
      <c r="E8" s="108"/>
      <c r="F8" s="112" t="str">
        <f ca="1"/>
        <v>EBIT</v>
      </c>
      <c r="G8" s="113">
        <f ca="1"/>
        <v>21055.512990000003</v>
      </c>
      <c r="H8" s="113">
        <f ca="1"/>
        <v>22318.843769400002</v>
      </c>
      <c r="I8" s="113">
        <f ca="1"/>
        <v>23657.974395564001</v>
      </c>
      <c r="J8" s="113">
        <f ca="1"/>
        <v>25077.452859297846</v>
      </c>
      <c r="K8" s="113">
        <f ca="1"/>
        <v>26582.100030855712</v>
      </c>
      <c r="L8" s="113">
        <f ca="1"/>
        <v>28177.026032707057</v>
      </c>
      <c r="M8" s="113">
        <f ca="1"/>
        <v>29867.647594669485</v>
      </c>
      <c r="N8" s="113">
        <f ca="1"/>
        <v>30763.677022509568</v>
      </c>
      <c r="O8" s="113">
        <f ca="1"/>
        <v>31686.587333184842</v>
      </c>
      <c r="P8" s="113">
        <f ca="1"/>
        <v>32637.184953180404</v>
      </c>
      <c r="Q8" s="113">
        <f ca="1"/>
        <v>33616.300501775811</v>
      </c>
      <c r="R8" s="113">
        <f ca="1"/>
        <v>34624.7895168291</v>
      </c>
      <c r="S8" s="113">
        <f ca="1"/>
        <v>35663.533202333958</v>
      </c>
      <c r="T8" s="113">
        <f ca="1"/>
        <v>36733.439198403968</v>
      </c>
      <c r="U8" s="113">
        <f ca="1"/>
        <v>37835.442374356091</v>
      </c>
      <c r="V8" s="113">
        <f ca="1"/>
        <v>38970.505645586789</v>
      </c>
      <c r="W8" s="113">
        <f ca="1"/>
        <v>40139.620814954396</v>
      </c>
      <c r="X8" s="113">
        <f ca="1"/>
        <v>41343.809439403034</v>
      </c>
      <c r="Y8" s="113">
        <f ca="1"/>
        <v>42584.123722585122</v>
      </c>
      <c r="Z8" s="113">
        <f ca="1"/>
        <v>43861.647434262675</v>
      </c>
      <c r="AA8" s="113">
        <f ca="1"/>
        <v>45177.496857290564</v>
      </c>
    </row>
    <row r="9" spans="1:27">
      <c r="A9" s="112" t="s">
        <v>175</v>
      </c>
      <c r="B9" s="154">
        <f>IF($B$3=FALSE,"-",IF(D9=0,C9,D9))</f>
        <v>0.24215757930127174</v>
      </c>
      <c r="C9" s="124">
        <f>INPUT_SHEET!C45</f>
        <v>0.4</v>
      </c>
      <c r="D9" s="159">
        <v>0.24215757930127174</v>
      </c>
      <c r="E9" s="108"/>
      <c r="F9" s="112" t="str">
        <f ca="1"/>
        <v>- EBIT*t</v>
      </c>
      <c r="G9" s="113">
        <f ca="1"/>
        <v>0</v>
      </c>
      <c r="H9" s="113">
        <f ca="1"/>
        <v>0</v>
      </c>
      <c r="I9" s="113">
        <f ca="1"/>
        <v>0</v>
      </c>
      <c r="J9" s="113">
        <f ca="1"/>
        <v>0</v>
      </c>
      <c r="K9" s="113">
        <f ca="1"/>
        <v>2997.9861561040425</v>
      </c>
      <c r="L9" s="113">
        <f ca="1"/>
        <v>6823.2804159892576</v>
      </c>
      <c r="M9" s="113">
        <f ca="1"/>
        <v>7232.6772409486139</v>
      </c>
      <c r="N9" s="113">
        <f ca="1"/>
        <v>7449.6575581770721</v>
      </c>
      <c r="O9" s="113">
        <f ca="1"/>
        <v>7673.147284922381</v>
      </c>
      <c r="P9" s="113">
        <f ca="1"/>
        <v>7903.341703470056</v>
      </c>
      <c r="Q9" s="113">
        <f ca="1"/>
        <v>8140.4419545741575</v>
      </c>
      <c r="R9" s="113">
        <f ca="1"/>
        <v>8384.6552132113848</v>
      </c>
      <c r="S9" s="113">
        <f ca="1"/>
        <v>8636.1948696077234</v>
      </c>
      <c r="T9" s="113">
        <f ca="1"/>
        <v>8895.2807156959534</v>
      </c>
      <c r="U9" s="113">
        <f ca="1"/>
        <v>9162.1391371668324</v>
      </c>
      <c r="V9" s="113">
        <f ca="1"/>
        <v>9437.0033112818401</v>
      </c>
      <c r="W9" s="113">
        <f ca="1"/>
        <v>9720.1134106202971</v>
      </c>
      <c r="X9" s="113">
        <f ca="1"/>
        <v>10011.716812938907</v>
      </c>
      <c r="Y9" s="113">
        <f ca="1"/>
        <v>10312.068317327074</v>
      </c>
      <c r="Z9" s="113">
        <f ca="1"/>
        <v>10621.430366846886</v>
      </c>
      <c r="AA9" s="113">
        <f ca="1"/>
        <v>10940.073277852294</v>
      </c>
    </row>
    <row r="10" spans="1:27">
      <c r="A10" s="125"/>
      <c r="B10" s="108"/>
      <c r="C10" s="108"/>
      <c r="D10" s="108"/>
      <c r="E10" s="108"/>
      <c r="F10" s="112" t="str">
        <f ca="1"/>
        <v>EBIT (1-t)</v>
      </c>
      <c r="G10" s="113">
        <f ca="1"/>
        <v>21055.512990000003</v>
      </c>
      <c r="H10" s="113">
        <f ca="1"/>
        <v>22318.843769400002</v>
      </c>
      <c r="I10" s="113">
        <f ca="1"/>
        <v>23657.974395564001</v>
      </c>
      <c r="J10" s="113">
        <f ca="1"/>
        <v>25077.452859297846</v>
      </c>
      <c r="K10" s="113">
        <f ca="1"/>
        <v>23584.113874751671</v>
      </c>
      <c r="L10" s="113">
        <f ca="1"/>
        <v>21353.745616717799</v>
      </c>
      <c r="M10" s="113">
        <f ca="1"/>
        <v>22634.97035372087</v>
      </c>
      <c r="N10" s="113">
        <f ca="1"/>
        <v>23314.019464332494</v>
      </c>
      <c r="O10" s="113">
        <f ca="1"/>
        <v>24013.440048262462</v>
      </c>
      <c r="P10" s="113">
        <f ca="1"/>
        <v>24733.843249710349</v>
      </c>
      <c r="Q10" s="113">
        <f ca="1"/>
        <v>25475.858547201653</v>
      </c>
      <c r="R10" s="113">
        <f ca="1"/>
        <v>26240.134303617713</v>
      </c>
      <c r="S10" s="113">
        <f ca="1"/>
        <v>27027.338332726235</v>
      </c>
      <c r="T10" s="113">
        <f ca="1"/>
        <v>27838.158482708015</v>
      </c>
      <c r="U10" s="113">
        <f ca="1"/>
        <v>28673.303237189259</v>
      </c>
      <c r="V10" s="113">
        <f ca="1"/>
        <v>29533.502334304947</v>
      </c>
      <c r="W10" s="113">
        <f ca="1"/>
        <v>30419.507404334101</v>
      </c>
      <c r="X10" s="113">
        <f ca="1"/>
        <v>31332.092626464128</v>
      </c>
      <c r="Y10" s="113">
        <f ca="1"/>
        <v>32272.055405258048</v>
      </c>
      <c r="Z10" s="113">
        <f ca="1"/>
        <v>33240.21706741579</v>
      </c>
      <c r="AA10" s="113">
        <f ca="1"/>
        <v>34237.423579438269</v>
      </c>
    </row>
    <row r="11" spans="1:27">
      <c r="A11" s="112" t="s">
        <v>176</v>
      </c>
      <c r="B11" s="122">
        <f>IF($B$3=FALSE,"-",IF(D11=0,C11,D11))</f>
        <v>0.1</v>
      </c>
      <c r="C11" s="113">
        <f ca="1">INPUT_SHEET!C20</f>
        <v>3965</v>
      </c>
      <c r="D11" s="123">
        <v>0.1</v>
      </c>
      <c r="E11" s="108"/>
      <c r="F11" s="112" t="str">
        <f ca="1"/>
        <v>+ Depreciation</v>
      </c>
      <c r="G11" s="113">
        <f ca="1"/>
        <v>1690.0462578077463</v>
      </c>
      <c r="H11" s="157">
        <f ca="1"/>
        <v>1791.4490332762111</v>
      </c>
      <c r="I11" s="113">
        <f ca="1"/>
        <v>1898.9359752727839</v>
      </c>
      <c r="J11" s="113">
        <f ca="1"/>
        <v>2012.8721337891511</v>
      </c>
      <c r="K11" s="113">
        <f ca="1"/>
        <v>2133.6444618165001</v>
      </c>
      <c r="L11" s="113">
        <f ca="1"/>
        <v>2261.6631295254901</v>
      </c>
      <c r="M11" s="113">
        <f ca="1"/>
        <v>2329.5130234112548</v>
      </c>
      <c r="N11" s="113">
        <f ca="1"/>
        <v>2399.3984141135925</v>
      </c>
      <c r="O11" s="113">
        <f ca="1"/>
        <v>2471.3803665370001</v>
      </c>
      <c r="P11" s="113">
        <f ca="1"/>
        <v>2545.5217775331103</v>
      </c>
      <c r="Q11" s="113">
        <f ca="1"/>
        <v>2621.8874308591035</v>
      </c>
      <c r="R11" s="113">
        <f ca="1"/>
        <v>2700.5440537848767</v>
      </c>
      <c r="S11" s="113">
        <f ca="1"/>
        <v>2781.5603753984233</v>
      </c>
      <c r="T11" s="113">
        <f ca="1"/>
        <v>2865.0071866603762</v>
      </c>
      <c r="U11" s="113">
        <f ca="1"/>
        <v>2950.9574022601873</v>
      </c>
      <c r="V11" s="113">
        <f ca="1"/>
        <v>3039.4861243279929</v>
      </c>
      <c r="W11" s="113">
        <f ca="1"/>
        <v>3130.6707080578326</v>
      </c>
      <c r="X11" s="113">
        <f ca="1"/>
        <v>3224.5908292995678</v>
      </c>
      <c r="Y11" s="113">
        <f ca="1"/>
        <v>3321.3285541785549</v>
      </c>
      <c r="Z11" s="113">
        <f ca="1"/>
        <v>3420.9684108039114</v>
      </c>
      <c r="AA11" s="113">
        <f ca="1"/>
        <v>3420.9684108039114</v>
      </c>
    </row>
    <row r="12" spans="1:27">
      <c r="A12" s="112" t="s">
        <v>177</v>
      </c>
      <c r="B12" s="122">
        <f>IF($B$3=FALSE,"-",IF(D12=0,C12,D12))</f>
        <v>76615</v>
      </c>
      <c r="C12" s="113">
        <f ca="1">INPUT_SHEET!C21</f>
        <v>38057</v>
      </c>
      <c r="D12" s="160">
        <v>76615</v>
      </c>
      <c r="E12" s="108"/>
      <c r="F12" s="112" t="str">
        <f ca="1"/>
        <v>- Capital Spending</v>
      </c>
      <c r="G12" s="113">
        <f ca="1"/>
        <v>7880.2396914944347</v>
      </c>
      <c r="H12" s="113">
        <f ca="1"/>
        <v>8353.0540729841014</v>
      </c>
      <c r="I12" s="113">
        <f ca="1"/>
        <v>8854.2373173631477</v>
      </c>
      <c r="J12" s="113">
        <f ca="1"/>
        <v>9385.491556404937</v>
      </c>
      <c r="K12" s="113">
        <f ca="1"/>
        <v>9948.6210497892334</v>
      </c>
      <c r="L12" s="113">
        <f ca="1"/>
        <v>10247.07968128291</v>
      </c>
      <c r="M12" s="113">
        <f ca="1"/>
        <v>10554.492071721397</v>
      </c>
      <c r="N12" s="113">
        <f ca="1"/>
        <v>10871.126833873039</v>
      </c>
      <c r="O12" s="113">
        <f ca="1"/>
        <v>11197.260638889231</v>
      </c>
      <c r="P12" s="113">
        <f ca="1"/>
        <v>11533.178458055909</v>
      </c>
      <c r="Q12" s="113">
        <f ca="1"/>
        <v>11879.173811797586</v>
      </c>
      <c r="R12" s="113">
        <f ca="1"/>
        <v>12235.549026151513</v>
      </c>
      <c r="S12" s="113">
        <f ca="1"/>
        <v>12602.61549693606</v>
      </c>
      <c r="T12" s="113">
        <f ca="1"/>
        <v>12980.693961844141</v>
      </c>
      <c r="U12" s="113">
        <f ca="1"/>
        <v>13370.114780699465</v>
      </c>
      <c r="V12" s="113">
        <f ca="1"/>
        <v>13771.21822412045</v>
      </c>
      <c r="W12" s="113">
        <f ca="1"/>
        <v>14184.354770844064</v>
      </c>
      <c r="X12" s="113">
        <f ca="1"/>
        <v>14609.885413969387</v>
      </c>
      <c r="Y12" s="113">
        <f ca="1"/>
        <v>15048.181976388469</v>
      </c>
      <c r="Z12" s="113">
        <f ca="1"/>
        <v>15499.627435680122</v>
      </c>
      <c r="AA12" s="113">
        <f ca="1"/>
        <v>3763.0652518843031</v>
      </c>
    </row>
    <row r="13" spans="1:27">
      <c r="A13" s="112" t="s">
        <v>178</v>
      </c>
      <c r="B13" s="122">
        <f>IF($B$3=FALSE,"-",IF(D13=0,C13,D13))</f>
        <v>200000</v>
      </c>
      <c r="C13" s="123">
        <f ca="1">INPUT_SHEET!I7</f>
        <v>-7727</v>
      </c>
      <c r="D13" s="123">
        <v>200000</v>
      </c>
      <c r="E13" s="108"/>
      <c r="F13" s="112" t="str">
        <f ca="1"/>
        <v>-  Chg. Working Capital</v>
      </c>
      <c r="G13" s="113">
        <f ca="1"/>
        <v>324.74700000000013</v>
      </c>
      <c r="H13" s="113">
        <f ca="1"/>
        <v>344.2318200000002</v>
      </c>
      <c r="I13" s="113">
        <f ca="1"/>
        <v>364.88572920000007</v>
      </c>
      <c r="J13" s="113">
        <f ca="1"/>
        <v>386.7788729519998</v>
      </c>
      <c r="K13" s="113">
        <f ca="1"/>
        <v>409.98560532912092</v>
      </c>
      <c r="L13" s="113">
        <f ca="1"/>
        <v>434.58474164886724</v>
      </c>
      <c r="M13" s="113">
        <f ca="1"/>
        <v>460.65982614779932</v>
      </c>
      <c r="N13" s="113">
        <f ca="1"/>
        <v>244.1497078583343</v>
      </c>
      <c r="O13" s="113">
        <f ca="1"/>
        <v>251.47419909408347</v>
      </c>
      <c r="P13" s="113">
        <f ca="1"/>
        <v>259.01842506690593</v>
      </c>
      <c r="Q13" s="113">
        <f ca="1"/>
        <v>266.7889778189143</v>
      </c>
      <c r="R13" s="113">
        <f ca="1"/>
        <v>274.79264715348108</v>
      </c>
      <c r="S13" s="113">
        <f ca="1"/>
        <v>283.03642656808518</v>
      </c>
      <c r="T13" s="113">
        <f ca="1"/>
        <v>291.52751936512794</v>
      </c>
      <c r="U13" s="113">
        <f ca="1"/>
        <v>300.2733449460822</v>
      </c>
      <c r="V13" s="113">
        <f ca="1"/>
        <v>309.28154529446476</v>
      </c>
      <c r="W13" s="113">
        <f ca="1"/>
        <v>318.55999165329854</v>
      </c>
      <c r="X13" s="113">
        <f ca="1"/>
        <v>328.11679140289783</v>
      </c>
      <c r="Y13" s="113">
        <f ca="1"/>
        <v>337.96029514498372</v>
      </c>
      <c r="Z13" s="113">
        <f ca="1"/>
        <v>348.09910399933437</v>
      </c>
      <c r="AA13" s="113">
        <f ca="1"/>
        <v>71.70841542386276</v>
      </c>
    </row>
    <row r="14" spans="1:27">
      <c r="A14" s="125"/>
      <c r="B14" s="103"/>
      <c r="C14" s="108"/>
      <c r="D14" s="108"/>
      <c r="E14" s="108"/>
      <c r="F14" s="112" t="str">
        <f ca="1"/>
        <v>Free CF to Firm</v>
      </c>
      <c r="G14" s="113">
        <f ca="1"/>
        <v>30301.051939302186</v>
      </c>
      <c r="H14" s="113">
        <f ca="1"/>
        <v>32119.115055660313</v>
      </c>
      <c r="I14" s="113">
        <f ca="1"/>
        <v>34046.26195899993</v>
      </c>
      <c r="J14" s="113">
        <f ca="1"/>
        <v>36089.037676539941</v>
      </c>
      <c r="K14" s="113">
        <f ca="1"/>
        <v>35256.393781028281</v>
      </c>
      <c r="L14" s="113">
        <f ca="1"/>
        <v>33427.903685877332</v>
      </c>
      <c r="M14" s="113">
        <f ca="1"/>
        <v>35058.315622705726</v>
      </c>
      <c r="N14" s="113">
        <f ca="1"/>
        <v>36340.395004460792</v>
      </c>
      <c r="O14" s="113">
        <f ca="1"/>
        <v>37430.606854594611</v>
      </c>
      <c r="P14" s="113">
        <f ca="1"/>
        <v>38553.525060232467</v>
      </c>
      <c r="Q14" s="113">
        <f ca="1"/>
        <v>39710.130812039431</v>
      </c>
      <c r="R14" s="113">
        <f ca="1"/>
        <v>40901.434736400624</v>
      </c>
      <c r="S14" s="113">
        <f ca="1"/>
        <v>42128.477778492634</v>
      </c>
      <c r="T14" s="113">
        <f ca="1"/>
        <v>43392.332111847405</v>
      </c>
      <c r="U14" s="113">
        <f ca="1"/>
        <v>44694.102075202834</v>
      </c>
      <c r="V14" s="113">
        <f ca="1"/>
        <v>46034.925137458922</v>
      </c>
      <c r="W14" s="113">
        <f ca="1"/>
        <v>47415.9728915827</v>
      </c>
      <c r="X14" s="113">
        <f ca="1"/>
        <v>48838.452078330185</v>
      </c>
      <c r="Y14" s="113">
        <f ca="1"/>
        <v>50303.605640680085</v>
      </c>
      <c r="Z14" s="113">
        <f ca="1"/>
        <v>51812.713809900495</v>
      </c>
      <c r="AA14" s="113">
        <f ca="1"/>
        <v>33823.618322934017</v>
      </c>
    </row>
    <row r="15" spans="1:27">
      <c r="A15" s="112" t="s">
        <v>145</v>
      </c>
      <c r="B15" s="126" t="b">
        <v>1</v>
      </c>
      <c r="C15" s="108"/>
      <c r="D15" s="108"/>
      <c r="E15" s="108"/>
      <c r="F15" s="112" t="str">
        <f ca="1"/>
        <v>Present Value</v>
      </c>
      <c r="G15" s="113">
        <f ca="1"/>
        <v>28318.740183591843</v>
      </c>
      <c r="H15" s="113">
        <f ca="1"/>
        <v>28054.07911328449</v>
      </c>
      <c r="I15" s="113">
        <f ca="1"/>
        <v>27791.891510429512</v>
      </c>
      <c r="J15" s="113">
        <f ca="1"/>
        <v>27532.154258513288</v>
      </c>
      <c r="K15" s="113">
        <f ca="1"/>
        <v>25137.321741324278</v>
      </c>
      <c r="L15" s="113">
        <f ca="1"/>
        <v>22274.423931599533</v>
      </c>
      <c r="M15" s="113">
        <f ca="1"/>
        <v>21832.557293148155</v>
      </c>
      <c r="N15" s="113">
        <f ca="1"/>
        <v>21150.441075166469</v>
      </c>
      <c r="O15" s="113">
        <f ca="1"/>
        <v>20359.770419161749</v>
      </c>
      <c r="P15" s="113">
        <f ca="1"/>
        <v>19598.657543254631</v>
      </c>
      <c r="Q15" s="113">
        <f ca="1"/>
        <v>18865.997483756786</v>
      </c>
      <c r="R15" s="113">
        <f ca="1"/>
        <v>18160.72658403169</v>
      </c>
      <c r="S15" s="113">
        <f ca="1"/>
        <v>17481.820950305762</v>
      </c>
      <c r="T15" s="113">
        <f ca="1"/>
        <v>16828.29496520634</v>
      </c>
      <c r="U15" s="113">
        <f ca="1"/>
        <v>16199.199856868236</v>
      </c>
      <c r="V15" s="113">
        <f ca="1"/>
        <v>15593.622321531622</v>
      </c>
      <c r="W15" s="113">
        <f ca="1"/>
        <v>15010.683197631666</v>
      </c>
      <c r="X15" s="113">
        <f ca="1"/>
        <v>14449.536189454815</v>
      </c>
      <c r="Y15" s="113">
        <f ca="1"/>
        <v>13909.366638508922</v>
      </c>
      <c r="Z15" s="113">
        <f ca="1"/>
        <v>13389.39034082344</v>
      </c>
      <c r="AA15" s="113" t="str">
        <f ca="1"/>
        <v/>
      </c>
    </row>
    <row r="16" spans="1:27">
      <c r="A16" s="112" t="s">
        <v>179</v>
      </c>
      <c r="B16" s="127">
        <f>IF($B$3=FALSE,"-",IF(D16=0,C16,D16))</f>
        <v>500</v>
      </c>
      <c r="C16" s="128">
        <f ca="1">INPUT_SHEET!C24</f>
        <v>35.805698606689667</v>
      </c>
      <c r="D16" s="162">
        <v>500</v>
      </c>
      <c r="E16" s="108"/>
      <c r="F16" s="112" t="str">
        <f ca="1"/>
        <v>NOL</v>
      </c>
      <c r="G16" s="113">
        <f ca="1"/>
        <v>85256.06</v>
      </c>
      <c r="H16" s="113">
        <f ca="1"/>
        <v>62937.216230599995</v>
      </c>
      <c r="I16" s="113">
        <f ca="1"/>
        <v>39279.241835035995</v>
      </c>
      <c r="J16" s="113">
        <f ca="1"/>
        <v>14201.788975738149</v>
      </c>
      <c r="K16" s="113">
        <f ca="1"/>
        <v>0</v>
      </c>
      <c r="L16" s="113">
        <f ca="1"/>
        <v>0</v>
      </c>
      <c r="M16" s="113">
        <f ca="1"/>
        <v>0</v>
      </c>
      <c r="N16" s="113">
        <f ca="1"/>
        <v>0</v>
      </c>
      <c r="O16" s="113">
        <f ca="1"/>
        <v>0</v>
      </c>
      <c r="P16" s="113">
        <f ca="1"/>
        <v>0</v>
      </c>
      <c r="Q16" s="113">
        <f ca="1"/>
        <v>0</v>
      </c>
      <c r="R16" s="113">
        <f ca="1"/>
        <v>0</v>
      </c>
      <c r="S16" s="113">
        <f ca="1"/>
        <v>0</v>
      </c>
      <c r="T16" s="113">
        <f ca="1"/>
        <v>0</v>
      </c>
      <c r="U16" s="113">
        <f ca="1"/>
        <v>0</v>
      </c>
      <c r="V16" s="113">
        <f ca="1"/>
        <v>0</v>
      </c>
      <c r="W16" s="113">
        <f ca="1"/>
        <v>0</v>
      </c>
      <c r="X16" s="113">
        <f ca="1"/>
        <v>0</v>
      </c>
      <c r="Y16" s="113">
        <f ca="1"/>
        <v>0</v>
      </c>
      <c r="Z16" s="113">
        <f ca="1"/>
        <v>0</v>
      </c>
      <c r="AA16" s="113" t="str">
        <f ca="1"/>
        <v/>
      </c>
    </row>
    <row r="17" spans="1:27">
      <c r="A17" s="112" t="s">
        <v>180</v>
      </c>
      <c r="B17" s="129">
        <f>IF($B$3=FALSE,"-",IF(D17=0,C17,D17))</f>
        <v>929.3</v>
      </c>
      <c r="C17" s="130">
        <f ca="1">INPUT_SHEET!C23</f>
        <v>1434</v>
      </c>
      <c r="D17" s="161">
        <v>929.3</v>
      </c>
      <c r="E17" s="108"/>
      <c r="F17" s="112" t="str">
        <f ca="1"/>
        <v>Tax Rate</v>
      </c>
      <c r="G17" s="114">
        <f ca="1"/>
        <v>0</v>
      </c>
      <c r="H17" s="114">
        <f ca="1"/>
        <v>0</v>
      </c>
      <c r="I17" s="114">
        <f ca="1"/>
        <v>0</v>
      </c>
      <c r="J17" s="114">
        <f ca="1"/>
        <v>0</v>
      </c>
      <c r="K17" s="114">
        <f ca="1"/>
        <v>0.11278214108832896</v>
      </c>
      <c r="L17" s="114">
        <f ca="1"/>
        <v>0.24215757930127174</v>
      </c>
      <c r="M17" s="114">
        <f ca="1"/>
        <v>0.24215757930127174</v>
      </c>
      <c r="N17" s="114">
        <f ca="1"/>
        <v>0.24215757930127174</v>
      </c>
      <c r="O17" s="114">
        <f ca="1"/>
        <v>0.24215757930127174</v>
      </c>
      <c r="P17" s="114">
        <f ca="1"/>
        <v>0.24215757930127174</v>
      </c>
      <c r="Q17" s="114">
        <f ca="1"/>
        <v>0.24215757930127174</v>
      </c>
      <c r="R17" s="114">
        <f ca="1"/>
        <v>0.24215757930127174</v>
      </c>
      <c r="S17" s="114">
        <f ca="1"/>
        <v>0.24215757930127174</v>
      </c>
      <c r="T17" s="114">
        <f ca="1"/>
        <v>0.24215757930127177</v>
      </c>
      <c r="U17" s="114">
        <f ca="1"/>
        <v>0.24215757930127174</v>
      </c>
      <c r="V17" s="114">
        <f ca="1"/>
        <v>0.24215757930127171</v>
      </c>
      <c r="W17" s="114">
        <f ca="1"/>
        <v>0.24215757930127174</v>
      </c>
      <c r="X17" s="114">
        <f ca="1"/>
        <v>0.24215757930127171</v>
      </c>
      <c r="Y17" s="114">
        <f ca="1"/>
        <v>0.24215757930127174</v>
      </c>
      <c r="Z17" s="114">
        <f ca="1"/>
        <v>0.24215757930127174</v>
      </c>
      <c r="AA17" s="114">
        <f ca="1"/>
        <v>0.24215757930127174</v>
      </c>
    </row>
    <row r="18" spans="1:27">
      <c r="A18" s="112" t="s">
        <v>181</v>
      </c>
      <c r="B18" s="127">
        <f>IF($B$3=FALSE,"-",IF(D18=0,C18,D18))</f>
        <v>0.1</v>
      </c>
      <c r="C18" s="131">
        <f>IF($B$3=FALSE,"-",B11)</f>
        <v>0.1</v>
      </c>
      <c r="D18" s="163">
        <v>0</v>
      </c>
      <c r="E18" s="108"/>
      <c r="F18" s="112" t="str">
        <f ca="1"/>
        <v>Beta</v>
      </c>
      <c r="G18" s="115">
        <f ca="1"/>
        <v>1</v>
      </c>
      <c r="H18" s="115">
        <f ca="1"/>
        <v>1</v>
      </c>
      <c r="I18" s="115">
        <f ca="1"/>
        <v>1</v>
      </c>
      <c r="J18" s="115">
        <f ca="1"/>
        <v>1</v>
      </c>
      <c r="K18" s="115">
        <f ca="1"/>
        <v>1</v>
      </c>
      <c r="L18" s="115">
        <f ca="1"/>
        <v>1</v>
      </c>
      <c r="M18" s="115">
        <f ca="1"/>
        <v>1</v>
      </c>
      <c r="N18" s="115">
        <f ca="1"/>
        <v>1</v>
      </c>
      <c r="O18" s="115">
        <f ca="1"/>
        <v>1</v>
      </c>
      <c r="P18" s="115">
        <f ca="1"/>
        <v>1</v>
      </c>
      <c r="Q18" s="115">
        <f ca="1"/>
        <v>1</v>
      </c>
      <c r="R18" s="115">
        <f ca="1"/>
        <v>1</v>
      </c>
      <c r="S18" s="115">
        <f ca="1"/>
        <v>1</v>
      </c>
      <c r="T18" s="115">
        <f ca="1"/>
        <v>1</v>
      </c>
      <c r="U18" s="115">
        <f ca="1"/>
        <v>1</v>
      </c>
      <c r="V18" s="115">
        <f ca="1"/>
        <v>1</v>
      </c>
      <c r="W18" s="115">
        <f ca="1"/>
        <v>1</v>
      </c>
      <c r="X18" s="115">
        <f ca="1"/>
        <v>1</v>
      </c>
      <c r="Y18" s="115">
        <f ca="1"/>
        <v>1</v>
      </c>
      <c r="Z18" s="115">
        <f ca="1"/>
        <v>1</v>
      </c>
      <c r="AA18" s="115">
        <f ca="1"/>
        <v>1</v>
      </c>
    </row>
    <row r="19" spans="1:27">
      <c r="A19" s="112" t="s">
        <v>182</v>
      </c>
      <c r="B19" s="132">
        <f>IF($B$3=FALSE,"-",IF(D19=0,C19,D19))</f>
        <v>0</v>
      </c>
      <c r="C19" s="133"/>
      <c r="D19" s="134">
        <v>0</v>
      </c>
      <c r="E19" s="108"/>
      <c r="F19" s="112" t="str">
        <f ca="1"/>
        <v>Cost of Equity</v>
      </c>
      <c r="G19" s="116">
        <f ca="1"/>
        <v>7.0000000000000007E-2</v>
      </c>
      <c r="H19" s="116">
        <f ca="1"/>
        <v>7.0000000000000007E-2</v>
      </c>
      <c r="I19" s="116">
        <f ca="1"/>
        <v>7.0000000000000007E-2</v>
      </c>
      <c r="J19" s="116">
        <f ca="1"/>
        <v>7.0000000000000007E-2</v>
      </c>
      <c r="K19" s="116">
        <f ca="1"/>
        <v>7.0000000000000007E-2</v>
      </c>
      <c r="L19" s="116">
        <f ca="1"/>
        <v>7.0000000000000007E-2</v>
      </c>
      <c r="M19" s="116">
        <f ca="1"/>
        <v>7.0000000000000007E-2</v>
      </c>
      <c r="N19" s="116">
        <f ca="1"/>
        <v>7.0000000000000007E-2</v>
      </c>
      <c r="O19" s="116">
        <f ca="1"/>
        <v>7.0000000000000007E-2</v>
      </c>
      <c r="P19" s="116">
        <f ca="1"/>
        <v>7.0000000000000007E-2</v>
      </c>
      <c r="Q19" s="116">
        <f ca="1"/>
        <v>7.0000000000000007E-2</v>
      </c>
      <c r="R19" s="116">
        <f ca="1"/>
        <v>7.0000000000000007E-2</v>
      </c>
      <c r="S19" s="116">
        <f ca="1"/>
        <v>7.0000000000000007E-2</v>
      </c>
      <c r="T19" s="116">
        <f ca="1"/>
        <v>7.0000000000000007E-2</v>
      </c>
      <c r="U19" s="116">
        <f ca="1"/>
        <v>7.0000000000000007E-2</v>
      </c>
      <c r="V19" s="116">
        <f ca="1"/>
        <v>7.0000000000000007E-2</v>
      </c>
      <c r="W19" s="116">
        <f ca="1"/>
        <v>7.0000000000000007E-2</v>
      </c>
      <c r="X19" s="116">
        <f ca="1"/>
        <v>7.0000000000000007E-2</v>
      </c>
      <c r="Y19" s="116">
        <f ca="1"/>
        <v>7.0000000000000007E-2</v>
      </c>
      <c r="Z19" s="116">
        <f ca="1"/>
        <v>7.0000000000000007E-2</v>
      </c>
      <c r="AA19" s="116">
        <f ca="1"/>
        <v>7.0000000000000007E-2</v>
      </c>
    </row>
    <row r="20" spans="1:27">
      <c r="A20" s="125"/>
      <c r="B20" s="103"/>
      <c r="C20" s="108"/>
      <c r="D20" s="108"/>
      <c r="E20" s="108"/>
      <c r="F20" s="112" t="str">
        <f ca="1"/>
        <v>Cost of Debt</v>
      </c>
      <c r="G20" s="117">
        <f ca="1"/>
        <v>6.0627393655898261E-2</v>
      </c>
      <c r="H20" s="117">
        <f ca="1"/>
        <v>6.0627393655898261E-2</v>
      </c>
      <c r="I20" s="117">
        <f ca="1"/>
        <v>6.0627393655898261E-2</v>
      </c>
      <c r="J20" s="117">
        <f ca="1"/>
        <v>6.0627393655898261E-2</v>
      </c>
      <c r="K20" s="117">
        <f ca="1"/>
        <v>6.0627393655898261E-2</v>
      </c>
      <c r="L20" s="117">
        <f ca="1"/>
        <v>6.0627393655898261E-2</v>
      </c>
      <c r="M20" s="117">
        <f ca="1"/>
        <v>6.0627393655898261E-2</v>
      </c>
      <c r="N20" s="117">
        <f ca="1"/>
        <v>6.0627393655898261E-2</v>
      </c>
      <c r="O20" s="117">
        <f ca="1"/>
        <v>6.0627393655898261E-2</v>
      </c>
      <c r="P20" s="117">
        <f ca="1"/>
        <v>6.0627393655898261E-2</v>
      </c>
      <c r="Q20" s="117">
        <f ca="1"/>
        <v>6.0627393655898261E-2</v>
      </c>
      <c r="R20" s="117">
        <f ca="1"/>
        <v>6.0627393655898261E-2</v>
      </c>
      <c r="S20" s="117">
        <f ca="1"/>
        <v>6.0627393655898261E-2</v>
      </c>
      <c r="T20" s="117">
        <f ca="1"/>
        <v>6.0627393655898261E-2</v>
      </c>
      <c r="U20" s="117">
        <f ca="1"/>
        <v>6.0627393655898261E-2</v>
      </c>
      <c r="V20" s="117">
        <f ca="1"/>
        <v>6.0627393655898261E-2</v>
      </c>
      <c r="W20" s="117">
        <f ca="1"/>
        <v>6.0627393655898261E-2</v>
      </c>
      <c r="X20" s="117">
        <f ca="1"/>
        <v>6.0627393655898261E-2</v>
      </c>
      <c r="Y20" s="117">
        <f ca="1"/>
        <v>6.0627393655898261E-2</v>
      </c>
      <c r="Z20" s="117">
        <f ca="1"/>
        <v>6.0627393655898261E-2</v>
      </c>
      <c r="AA20" s="117">
        <f ca="1"/>
        <v>6.0627393655898261E-2</v>
      </c>
    </row>
    <row r="21" spans="1:27">
      <c r="A21" s="112" t="s">
        <v>183</v>
      </c>
      <c r="B21" s="117">
        <f>IF($B$3=FALSE,"-",IF(D21=0,C21,D21))</f>
        <v>7.0000000000000007E-2</v>
      </c>
      <c r="C21" s="118"/>
      <c r="D21" s="134">
        <v>7.0000000000000007E-2</v>
      </c>
      <c r="E21" s="108"/>
      <c r="F21" s="112" t="str">
        <f ca="1"/>
        <v>Debt Ratio</v>
      </c>
      <c r="G21" s="117">
        <f ca="1"/>
        <v>2.1528520666169726E-7</v>
      </c>
      <c r="H21" s="117">
        <f ca="1"/>
        <v>2.1528520666169726E-7</v>
      </c>
      <c r="I21" s="117">
        <f ca="1"/>
        <v>2.1528520666169726E-7</v>
      </c>
      <c r="J21" s="117">
        <f ca="1"/>
        <v>2.1528520666169726E-7</v>
      </c>
      <c r="K21" s="117">
        <f ca="1"/>
        <v>2.1528520666169726E-7</v>
      </c>
      <c r="L21" s="116">
        <f ca="1"/>
        <v>2.1528520666169726E-7</v>
      </c>
      <c r="M21" s="116">
        <f ca="1"/>
        <v>2.1528520666169726E-7</v>
      </c>
      <c r="N21" s="116">
        <f ca="1"/>
        <v>2.1528520666169726E-7</v>
      </c>
      <c r="O21" s="116">
        <f ca="1"/>
        <v>2.1528520666169726E-7</v>
      </c>
      <c r="P21" s="116">
        <f ca="1"/>
        <v>2.1528520666169726E-7</v>
      </c>
      <c r="Q21" s="116">
        <f ca="1"/>
        <v>2.1528520666169726E-7</v>
      </c>
      <c r="R21" s="116">
        <f ca="1"/>
        <v>2.1528520666169726E-7</v>
      </c>
      <c r="S21" s="116">
        <f ca="1"/>
        <v>2.1528520666169726E-7</v>
      </c>
      <c r="T21" s="116">
        <f ca="1"/>
        <v>2.1528520666169726E-7</v>
      </c>
      <c r="U21" s="116">
        <f ca="1"/>
        <v>2.1528520666169726E-7</v>
      </c>
      <c r="V21" s="116">
        <f ca="1"/>
        <v>2.1528520666169726E-7</v>
      </c>
      <c r="W21" s="116">
        <f ca="1"/>
        <v>2.1528520666169726E-7</v>
      </c>
      <c r="X21" s="116">
        <f ca="1"/>
        <v>2.1528520666169726E-7</v>
      </c>
      <c r="Y21" s="116">
        <f ca="1"/>
        <v>2.1528520666169726E-7</v>
      </c>
      <c r="Z21" s="116">
        <f ca="1"/>
        <v>2.1528520666169726E-7</v>
      </c>
      <c r="AA21" s="116">
        <f ca="1"/>
        <v>2.1528520666169726E-7</v>
      </c>
    </row>
    <row r="22" spans="1:27">
      <c r="A22" s="112" t="s">
        <v>184</v>
      </c>
      <c r="B22" s="129">
        <f>IF($B$3=FALSE,"-",IF(D22=0,C22,D22))</f>
        <v>1</v>
      </c>
      <c r="C22" s="130">
        <f ca="1">INPUT_SHEET!C46</f>
        <v>0.61352602612761287</v>
      </c>
      <c r="D22" s="164">
        <v>1</v>
      </c>
      <c r="E22" s="108"/>
      <c r="F22" s="112" t="str">
        <f ca="1"/>
        <v>Cost of Capital</v>
      </c>
      <c r="G22" s="118">
        <f ca="1"/>
        <v>6.9999997982216511E-2</v>
      </c>
      <c r="H22" s="118">
        <f ca="1"/>
        <v>6.9999997982216511E-2</v>
      </c>
      <c r="I22" s="118">
        <f ca="1"/>
        <v>6.9999997982216511E-2</v>
      </c>
      <c r="J22" s="118">
        <f ca="1"/>
        <v>6.9999997982216511E-2</v>
      </c>
      <c r="K22" s="118">
        <f ca="1"/>
        <v>6.9999997982216511E-2</v>
      </c>
      <c r="L22" s="118">
        <f ca="1"/>
        <v>6.9999997982216511E-2</v>
      </c>
      <c r="M22" s="118">
        <f ca="1"/>
        <v>6.9999997982216511E-2</v>
      </c>
      <c r="N22" s="118">
        <f ca="1"/>
        <v>6.9999997982216511E-2</v>
      </c>
      <c r="O22" s="118">
        <f ca="1"/>
        <v>6.9999997982216511E-2</v>
      </c>
      <c r="P22" s="118">
        <f ca="1"/>
        <v>6.9999997982216511E-2</v>
      </c>
      <c r="Q22" s="118">
        <f ca="1"/>
        <v>6.9999997982216511E-2</v>
      </c>
      <c r="R22" s="118">
        <f ca="1"/>
        <v>6.9999997982216511E-2</v>
      </c>
      <c r="S22" s="118">
        <f ca="1"/>
        <v>6.9999997982216511E-2</v>
      </c>
      <c r="T22" s="118">
        <f ca="1"/>
        <v>6.9999997982216511E-2</v>
      </c>
      <c r="U22" s="118">
        <f ca="1"/>
        <v>6.9999997982216511E-2</v>
      </c>
      <c r="V22" s="118">
        <f ca="1"/>
        <v>6.9999997982216511E-2</v>
      </c>
      <c r="W22" s="118">
        <f ca="1"/>
        <v>6.9999997982216511E-2</v>
      </c>
      <c r="X22" s="118">
        <f ca="1"/>
        <v>6.9999997982216511E-2</v>
      </c>
      <c r="Y22" s="118">
        <f ca="1"/>
        <v>6.9999997982216511E-2</v>
      </c>
      <c r="Z22" s="118">
        <f ca="1"/>
        <v>6.9999997982216511E-2</v>
      </c>
      <c r="AA22" s="118">
        <f ca="1"/>
        <v>6.9999997982216511E-2</v>
      </c>
    </row>
    <row r="23" spans="1:27">
      <c r="A23" s="112" t="s">
        <v>185</v>
      </c>
      <c r="B23" s="117">
        <f>IF($B$3=FALSE,"-",IF(D23=0,C23,D23))</f>
        <v>0.02</v>
      </c>
      <c r="C23" s="118">
        <f>INPUT_SHEET!C43</f>
        <v>0.04</v>
      </c>
      <c r="D23" s="134">
        <v>0.02</v>
      </c>
      <c r="E23" s="108"/>
      <c r="F23" s="112" t="str">
        <f ca="1"/>
        <v>Cum. WACC</v>
      </c>
      <c r="G23" s="119">
        <f ca="1"/>
        <v>1.0699999979822166</v>
      </c>
      <c r="H23" s="119">
        <f ca="1"/>
        <v>1.1448999956819434</v>
      </c>
      <c r="I23" s="119">
        <f ca="1"/>
        <v>1.2250429930695192</v>
      </c>
      <c r="J23" s="119">
        <f ca="1"/>
        <v>1.3107960001125141</v>
      </c>
      <c r="K23" s="119">
        <f ca="1"/>
        <v>1.4025517174754876</v>
      </c>
      <c r="L23" s="119">
        <f ca="1"/>
        <v>1.500730334868726</v>
      </c>
      <c r="M23" s="119">
        <f ca="1"/>
        <v>1.605781455281388</v>
      </c>
      <c r="N23" s="119">
        <f ca="1"/>
        <v>1.718186153910966</v>
      </c>
      <c r="O23" s="119">
        <f ca="1"/>
        <v>1.8384591812178059</v>
      </c>
      <c r="P23" s="119">
        <f ca="1"/>
        <v>1.9671513201934399</v>
      </c>
      <c r="Q23" s="119">
        <f ca="1"/>
        <v>2.1048519086376953</v>
      </c>
      <c r="R23" s="119">
        <f ca="1"/>
        <v>2.2521915379951989</v>
      </c>
      <c r="S23" s="119">
        <f ca="1"/>
        <v>2.4098449411104279</v>
      </c>
      <c r="T23" s="119">
        <f ca="1"/>
        <v>2.5785340821256129</v>
      </c>
      <c r="U23" s="119">
        <f ca="1"/>
        <v>2.7590314626714822</v>
      </c>
      <c r="V23" s="119">
        <f ca="1"/>
        <v>2.9521636594913581</v>
      </c>
      <c r="W23" s="119">
        <f ca="1"/>
        <v>3.1588151096989261</v>
      </c>
      <c r="X23" s="119">
        <f ca="1"/>
        <v>3.3799321610040463</v>
      </c>
      <c r="Y23" s="119">
        <f ca="1"/>
        <v>3.6165274054543586</v>
      </c>
      <c r="Z23" s="119">
        <f ca="1"/>
        <v>3.8696843165387946</v>
      </c>
      <c r="AA23" s="119" t="str">
        <f ca="1"/>
        <v/>
      </c>
    </row>
    <row r="24" spans="1:27">
      <c r="A24" s="112" t="s">
        <v>186</v>
      </c>
      <c r="B24" s="117">
        <f>IF($B$3=FALSE,"-",IF(D24=0,C24,D24))</f>
        <v>0.05</v>
      </c>
      <c r="C24" s="118">
        <f>IF($B$3=FALSE,"-",INPUT_SHEET!C47)</f>
        <v>0.04</v>
      </c>
      <c r="D24" s="134">
        <v>0.05</v>
      </c>
      <c r="E24" s="108"/>
      <c r="F24" s="112" t="str">
        <f ca="1"/>
        <v>Growth Rate in Stable Phase :</v>
      </c>
      <c r="G24" s="118">
        <f ca="1"/>
        <v>0.03</v>
      </c>
      <c r="H24" s="108" t="str">
        <f ca="1"/>
        <v/>
      </c>
      <c r="I24" s="108" t="str">
        <f ca="1"/>
        <v/>
      </c>
      <c r="J24" s="108" t="str">
        <f ca="1"/>
        <v/>
      </c>
      <c r="K24" s="108" t="str">
        <f ca="1"/>
        <v/>
      </c>
      <c r="L24" s="108" t="str">
        <f ca="1"/>
        <v/>
      </c>
      <c r="M24" s="108" t="str">
        <f ca="1"/>
        <v/>
      </c>
      <c r="N24" s="108" t="str">
        <f ca="1"/>
        <v/>
      </c>
      <c r="O24" s="108" t="str">
        <f ca="1"/>
        <v/>
      </c>
      <c r="P24" s="108" t="str">
        <f ca="1"/>
        <v/>
      </c>
      <c r="Q24" s="108" t="str">
        <f ca="1"/>
        <v/>
      </c>
      <c r="R24" s="108" t="str">
        <f ca="1"/>
        <v/>
      </c>
      <c r="S24" s="108" t="str">
        <f ca="1"/>
        <v/>
      </c>
      <c r="T24" s="108" t="str">
        <f ca="1"/>
        <v/>
      </c>
      <c r="U24" s="108" t="str">
        <f ca="1"/>
        <v/>
      </c>
      <c r="V24" s="108" t="str">
        <f ca="1"/>
        <v/>
      </c>
      <c r="W24" s="108" t="str">
        <f ca="1"/>
        <v/>
      </c>
      <c r="X24" s="108" t="str">
        <f ca="1"/>
        <v/>
      </c>
      <c r="Y24" s="108" t="str">
        <f ca="1"/>
        <v/>
      </c>
      <c r="Z24" s="108" t="str">
        <f ca="1"/>
        <v/>
      </c>
      <c r="AA24" s="108" t="str">
        <f ca="1"/>
        <v/>
      </c>
    </row>
    <row r="25" spans="1:27">
      <c r="A25" s="112" t="s">
        <v>187</v>
      </c>
      <c r="B25" s="117">
        <f>IF($B$3=FALSE,"-",IF(D25=0,C25,D25))</f>
        <v>2.5000000000000001E-2</v>
      </c>
      <c r="C25" s="118">
        <f>INPUT_SHEET!C50</f>
        <v>3.3000000000000002E-2</v>
      </c>
      <c r="D25" s="134">
        <v>2.5000000000000001E-2</v>
      </c>
      <c r="E25" s="108"/>
      <c r="F25" s="112" t="str">
        <f ca="1"/>
        <v>FCFF in Stable Phase :</v>
      </c>
      <c r="G25" s="120">
        <f ca="1"/>
        <v>33823.618322934017</v>
      </c>
      <c r="H25" s="108" t="str">
        <f ca="1"/>
        <v/>
      </c>
      <c r="I25" s="108" t="str">
        <f ca="1"/>
        <v/>
      </c>
      <c r="J25" s="108" t="str">
        <f ca="1"/>
        <v/>
      </c>
      <c r="K25" s="108" t="str">
        <f ca="1"/>
        <v/>
      </c>
      <c r="L25" s="108" t="str">
        <f ca="1"/>
        <v/>
      </c>
      <c r="M25" s="108" t="str">
        <f ca="1"/>
        <v/>
      </c>
      <c r="N25" s="108" t="str">
        <f ca="1"/>
        <v/>
      </c>
      <c r="O25" s="108" t="str">
        <f ca="1"/>
        <v/>
      </c>
      <c r="P25" s="108" t="str">
        <f ca="1"/>
        <v/>
      </c>
      <c r="Q25" s="108" t="str">
        <f ca="1"/>
        <v/>
      </c>
      <c r="R25" s="108" t="str">
        <f ca="1"/>
        <v/>
      </c>
      <c r="S25" s="108" t="str">
        <f ca="1"/>
        <v/>
      </c>
      <c r="T25" s="108" t="str">
        <f ca="1"/>
        <v/>
      </c>
      <c r="U25" s="108" t="str">
        <f ca="1"/>
        <v/>
      </c>
      <c r="V25" s="108" t="str">
        <f ca="1"/>
        <v/>
      </c>
      <c r="W25" s="108" t="str">
        <f ca="1"/>
        <v/>
      </c>
      <c r="X25" s="108" t="str">
        <f ca="1"/>
        <v/>
      </c>
      <c r="Y25" s="108" t="str">
        <f ca="1"/>
        <v/>
      </c>
      <c r="Z25" s="108" t="str">
        <f ca="1"/>
        <v/>
      </c>
      <c r="AA25" s="108" t="str">
        <f ca="1"/>
        <v/>
      </c>
    </row>
    <row r="26" spans="1:27">
      <c r="A26" s="125"/>
      <c r="B26" s="135"/>
      <c r="C26" s="108"/>
      <c r="D26" s="108"/>
      <c r="E26" s="108"/>
      <c r="F26" s="112" t="str">
        <f ca="1"/>
        <v>Cost of Equity in Stable Phase :</v>
      </c>
      <c r="G26" s="118">
        <f ca="1"/>
        <v>7.0000000000000007E-2</v>
      </c>
      <c r="H26" s="108" t="str">
        <f ca="1"/>
        <v/>
      </c>
      <c r="I26" s="108" t="str">
        <f ca="1"/>
        <v/>
      </c>
      <c r="J26" s="108" t="str">
        <f ca="1"/>
        <v/>
      </c>
      <c r="K26" s="108" t="str">
        <f ca="1"/>
        <v/>
      </c>
      <c r="L26" s="108" t="str">
        <f ca="1"/>
        <v/>
      </c>
      <c r="M26" s="108" t="str">
        <f ca="1"/>
        <v/>
      </c>
      <c r="N26" s="108" t="str">
        <f ca="1"/>
        <v/>
      </c>
      <c r="O26" s="108" t="str">
        <f ca="1"/>
        <v/>
      </c>
      <c r="P26" s="108" t="str">
        <f ca="1"/>
        <v/>
      </c>
      <c r="Q26" s="108" t="str">
        <f ca="1"/>
        <v/>
      </c>
      <c r="R26" s="108" t="str">
        <f ca="1"/>
        <v/>
      </c>
      <c r="S26" s="108" t="str">
        <f ca="1"/>
        <v/>
      </c>
      <c r="T26" s="108" t="str">
        <f ca="1"/>
        <v/>
      </c>
      <c r="U26" s="108" t="str">
        <f ca="1"/>
        <v/>
      </c>
      <c r="V26" s="108" t="str">
        <f ca="1"/>
        <v/>
      </c>
      <c r="W26" s="108" t="str">
        <f ca="1"/>
        <v/>
      </c>
      <c r="X26" s="108" t="str">
        <f ca="1"/>
        <v/>
      </c>
      <c r="Y26" s="108" t="str">
        <f ca="1"/>
        <v/>
      </c>
      <c r="Z26" s="108" t="str">
        <f ca="1"/>
        <v/>
      </c>
      <c r="AA26" s="108" t="str">
        <f ca="1"/>
        <v/>
      </c>
    </row>
    <row r="27" spans="1:27">
      <c r="A27" s="112" t="s">
        <v>188</v>
      </c>
      <c r="B27" s="117">
        <f>IF($B$3=FALSE,"-",IF(D27=0,C27,D27))</f>
        <v>0.03</v>
      </c>
      <c r="C27" s="118">
        <f ca="1">INPUT_SHEET!I8</f>
        <v>0</v>
      </c>
      <c r="D27" s="134">
        <v>0.03</v>
      </c>
      <c r="E27" s="108"/>
      <c r="F27" s="112" t="str">
        <f ca="1"/>
        <v>Equity/ (Equity + Debt) :</v>
      </c>
      <c r="G27" s="118">
        <f ca="1"/>
        <v>0.85</v>
      </c>
      <c r="H27" s="108" t="str">
        <f ca="1"/>
        <v/>
      </c>
      <c r="I27" s="108" t="str">
        <f ca="1"/>
        <v/>
      </c>
      <c r="J27" s="108" t="str">
        <f ca="1"/>
        <v/>
      </c>
      <c r="K27" s="108" t="str">
        <f ca="1"/>
        <v/>
      </c>
      <c r="L27" s="108" t="str">
        <f ca="1"/>
        <v/>
      </c>
      <c r="M27" s="108" t="str">
        <f ca="1"/>
        <v/>
      </c>
      <c r="N27" s="108" t="str">
        <f ca="1"/>
        <v/>
      </c>
      <c r="O27" s="108" t="str">
        <f ca="1"/>
        <v/>
      </c>
      <c r="P27" s="108" t="str">
        <f ca="1"/>
        <v/>
      </c>
      <c r="Q27" s="108" t="str">
        <f ca="1"/>
        <v/>
      </c>
      <c r="R27" s="108" t="str">
        <f ca="1"/>
        <v/>
      </c>
      <c r="S27" s="108" t="str">
        <f ca="1"/>
        <v/>
      </c>
      <c r="T27" s="108" t="str">
        <f ca="1"/>
        <v/>
      </c>
      <c r="U27" s="108" t="str">
        <f ca="1"/>
        <v/>
      </c>
      <c r="V27" s="108" t="str">
        <f ca="1"/>
        <v/>
      </c>
      <c r="W27" s="108" t="str">
        <f ca="1"/>
        <v/>
      </c>
      <c r="X27" s="108" t="str">
        <f ca="1"/>
        <v/>
      </c>
      <c r="Y27" s="108" t="str">
        <f ca="1"/>
        <v/>
      </c>
      <c r="Z27" s="108" t="str">
        <f ca="1"/>
        <v/>
      </c>
      <c r="AA27" s="108" t="str">
        <f ca="1"/>
        <v/>
      </c>
    </row>
    <row r="28" spans="1:27">
      <c r="A28" s="112" t="s">
        <v>189</v>
      </c>
      <c r="B28" s="117">
        <f>IF($B$3=FALSE,"-",IF(D28=0,C28,D28))</f>
        <v>0.8165</v>
      </c>
      <c r="C28" s="118">
        <f>IF($B$3=FALSE,"-",B50)</f>
        <v>0.8165</v>
      </c>
      <c r="D28" s="134">
        <v>0</v>
      </c>
      <c r="E28" s="108"/>
      <c r="F28" s="112" t="str">
        <f ca="1"/>
        <v>AT Cost of Debt in Stable Phase :</v>
      </c>
      <c r="G28" s="118">
        <f ca="1"/>
        <v>6.0627393655898261E-2</v>
      </c>
      <c r="H28" s="108" t="str">
        <f ca="1"/>
        <v/>
      </c>
      <c r="I28" s="108" t="str">
        <f ca="1"/>
        <v/>
      </c>
      <c r="J28" s="108" t="str">
        <f ca="1"/>
        <v/>
      </c>
      <c r="K28" s="108" t="str">
        <f ca="1"/>
        <v/>
      </c>
      <c r="L28" s="108" t="str">
        <f ca="1"/>
        <v/>
      </c>
      <c r="M28" s="108" t="str">
        <f ca="1"/>
        <v/>
      </c>
      <c r="N28" s="108" t="str">
        <f ca="1"/>
        <v/>
      </c>
      <c r="O28" s="108" t="str">
        <f ca="1"/>
        <v/>
      </c>
      <c r="P28" s="108" t="str">
        <f ca="1"/>
        <v/>
      </c>
      <c r="Q28" s="108" t="str">
        <f ca="1"/>
        <v/>
      </c>
      <c r="R28" s="108" t="str">
        <f ca="1"/>
        <v/>
      </c>
      <c r="S28" s="108" t="str">
        <f ca="1"/>
        <v/>
      </c>
      <c r="T28" s="108" t="str">
        <f ca="1"/>
        <v/>
      </c>
      <c r="U28" s="108" t="str">
        <f ca="1"/>
        <v/>
      </c>
      <c r="V28" s="108" t="str">
        <f ca="1"/>
        <v/>
      </c>
      <c r="W28" s="108" t="str">
        <f ca="1"/>
        <v/>
      </c>
      <c r="X28" s="108" t="str">
        <f ca="1"/>
        <v/>
      </c>
      <c r="Y28" s="108" t="str">
        <f ca="1"/>
        <v/>
      </c>
      <c r="Z28" s="108" t="str">
        <f ca="1"/>
        <v/>
      </c>
      <c r="AA28" s="108" t="str">
        <f ca="1"/>
        <v/>
      </c>
    </row>
    <row r="29" spans="1:27">
      <c r="A29" s="112" t="s">
        <v>190</v>
      </c>
      <c r="B29" s="117">
        <f>IF($B$3=FALSE,"-",IF(D29=0,C29,D29))</f>
        <v>0.01</v>
      </c>
      <c r="C29" s="118">
        <f ca="1">INPUT_SHEET!I5/INPUT_SHEET!C26</f>
        <v>8.4897297297297296</v>
      </c>
      <c r="D29" s="134">
        <v>0.01</v>
      </c>
      <c r="E29" s="108"/>
      <c r="F29" s="112" t="str">
        <f ca="1"/>
        <v>Debt/ (Equity + Debt)  :</v>
      </c>
      <c r="G29" s="118">
        <f ca="1"/>
        <v>0.15000000000000002</v>
      </c>
      <c r="H29" s="108" t="str">
        <f ca="1"/>
        <v/>
      </c>
      <c r="I29" s="108" t="str">
        <f ca="1"/>
        <v/>
      </c>
      <c r="J29" s="108" t="str">
        <f ca="1"/>
        <v/>
      </c>
      <c r="K29" s="108" t="str">
        <f ca="1"/>
        <v/>
      </c>
      <c r="L29" s="108" t="str">
        <f ca="1"/>
        <v/>
      </c>
      <c r="M29" s="108" t="str">
        <f ca="1"/>
        <v/>
      </c>
      <c r="N29" s="108" t="str">
        <f ca="1"/>
        <v/>
      </c>
      <c r="O29" s="108" t="str">
        <f ca="1"/>
        <v/>
      </c>
      <c r="P29" s="108" t="str">
        <f ca="1"/>
        <v/>
      </c>
      <c r="Q29" s="108" t="str">
        <f ca="1"/>
        <v/>
      </c>
      <c r="R29" s="108" t="str">
        <f ca="1"/>
        <v/>
      </c>
      <c r="S29" s="108" t="str">
        <f ca="1"/>
        <v/>
      </c>
      <c r="T29" s="108" t="str">
        <f ca="1"/>
        <v/>
      </c>
      <c r="U29" s="108" t="str">
        <f ca="1"/>
        <v/>
      </c>
      <c r="V29" s="108" t="str">
        <f ca="1"/>
        <v/>
      </c>
      <c r="W29" s="108" t="str">
        <f ca="1"/>
        <v/>
      </c>
      <c r="X29" s="108" t="str">
        <f ca="1"/>
        <v/>
      </c>
      <c r="Y29" s="108" t="str">
        <f ca="1"/>
        <v/>
      </c>
      <c r="Z29" s="108" t="str">
        <f ca="1"/>
        <v/>
      </c>
      <c r="AA29" s="108" t="str">
        <f ca="1"/>
        <v/>
      </c>
    </row>
    <row r="30" spans="1:27">
      <c r="A30" s="112" t="s">
        <v>191</v>
      </c>
      <c r="B30" s="129">
        <f>IF($B$3=FALSE,"-",IF(D30=0,C30,D30))</f>
        <v>1</v>
      </c>
      <c r="C30" s="130"/>
      <c r="D30" s="123">
        <v>1</v>
      </c>
      <c r="E30" s="108"/>
      <c r="F30" s="112" t="str">
        <f ca="1"/>
        <v>Cost of Capital in Stable Phase :</v>
      </c>
      <c r="G30" s="118">
        <f ca="1"/>
        <v>6.8594109048384741E-2</v>
      </c>
      <c r="H30" s="108" t="str">
        <f ca="1"/>
        <v/>
      </c>
      <c r="I30" s="108" t="str">
        <f ca="1"/>
        <v/>
      </c>
      <c r="J30" s="108" t="str">
        <f ca="1"/>
        <v/>
      </c>
      <c r="K30" s="108" t="str">
        <f ca="1"/>
        <v/>
      </c>
      <c r="L30" s="108" t="str">
        <f ca="1"/>
        <v/>
      </c>
      <c r="M30" s="108" t="str">
        <f ca="1"/>
        <v/>
      </c>
      <c r="N30" s="108" t="str">
        <f ca="1"/>
        <v/>
      </c>
      <c r="O30" s="108" t="str">
        <f ca="1"/>
        <v/>
      </c>
      <c r="P30" s="108" t="str">
        <f ca="1"/>
        <v/>
      </c>
      <c r="Q30" s="108" t="str">
        <f ca="1"/>
        <v/>
      </c>
      <c r="R30" s="108" t="str">
        <f ca="1"/>
        <v/>
      </c>
      <c r="S30" s="108" t="str">
        <f ca="1"/>
        <v/>
      </c>
      <c r="T30" s="108" t="str">
        <f ca="1"/>
        <v/>
      </c>
      <c r="U30" s="108" t="str">
        <f ca="1"/>
        <v/>
      </c>
      <c r="V30" s="108" t="str">
        <f ca="1"/>
        <v/>
      </c>
      <c r="W30" s="108" t="str">
        <f ca="1"/>
        <v/>
      </c>
      <c r="X30" s="108" t="str">
        <f ca="1"/>
        <v/>
      </c>
      <c r="Y30" s="108" t="str">
        <f ca="1"/>
        <v/>
      </c>
      <c r="Z30" s="108" t="str">
        <f ca="1"/>
        <v/>
      </c>
      <c r="AA30" s="108" t="str">
        <f ca="1"/>
        <v/>
      </c>
    </row>
    <row r="31" spans="1:27">
      <c r="A31" s="112" t="s">
        <v>192</v>
      </c>
      <c r="B31" s="117">
        <f>IF($B$3=FALSE,"-",IF(D31=0,C31,D31))</f>
        <v>0.15</v>
      </c>
      <c r="C31" s="136"/>
      <c r="D31" s="134">
        <v>0.15</v>
      </c>
      <c r="E31" s="108"/>
      <c r="F31" s="112" t="str">
        <f ca="1"/>
        <v>Value at the end of growth phase :</v>
      </c>
      <c r="G31" s="120">
        <f ca="1"/>
        <v>876393.29309377121</v>
      </c>
      <c r="H31" s="108" t="str">
        <f ca="1"/>
        <v/>
      </c>
      <c r="I31" s="108" t="str">
        <f ca="1"/>
        <v/>
      </c>
      <c r="J31" s="108" t="str">
        <f ca="1"/>
        <v/>
      </c>
      <c r="K31" s="108" t="str">
        <f ca="1"/>
        <v/>
      </c>
      <c r="L31" s="108" t="str">
        <f ca="1"/>
        <v/>
      </c>
      <c r="M31" s="108" t="str">
        <f ca="1"/>
        <v/>
      </c>
      <c r="N31" s="108" t="str">
        <f ca="1"/>
        <v/>
      </c>
      <c r="O31" s="108" t="str">
        <f ca="1"/>
        <v/>
      </c>
      <c r="P31" s="108" t="str">
        <f ca="1"/>
        <v/>
      </c>
      <c r="Q31" s="108" t="str">
        <f ca="1"/>
        <v/>
      </c>
      <c r="R31" s="108" t="str">
        <f ca="1"/>
        <v/>
      </c>
      <c r="S31" s="108" t="str">
        <f ca="1"/>
        <v/>
      </c>
      <c r="T31" s="108" t="str">
        <f ca="1"/>
        <v/>
      </c>
      <c r="U31" s="108" t="str">
        <f ca="1"/>
        <v/>
      </c>
      <c r="V31" s="108" t="str">
        <f ca="1"/>
        <v/>
      </c>
      <c r="W31" s="108" t="str">
        <f ca="1"/>
        <v/>
      </c>
      <c r="X31" s="108" t="str">
        <f ca="1"/>
        <v/>
      </c>
      <c r="Y31" s="108" t="str">
        <f ca="1"/>
        <v/>
      </c>
      <c r="Z31" s="108" t="str">
        <f ca="1"/>
        <v/>
      </c>
      <c r="AA31" s="108" t="str">
        <f ca="1"/>
        <v/>
      </c>
    </row>
    <row r="32" spans="1:27">
      <c r="A32" s="137"/>
      <c r="B32" s="137"/>
      <c r="C32" s="137"/>
      <c r="D32" s="137"/>
      <c r="E32" s="108"/>
      <c r="F32" s="112" t="str">
        <f ca="1"/>
        <v>Present Value of FCFF in high growth phase :</v>
      </c>
      <c r="G32" s="120">
        <f ca="1"/>
        <v>401938.67559759336</v>
      </c>
      <c r="H32" s="108" t="str">
        <f ca="1"/>
        <v/>
      </c>
      <c r="I32" s="108" t="str">
        <f ca="1"/>
        <v/>
      </c>
      <c r="J32" s="108" t="str">
        <f ca="1"/>
        <v/>
      </c>
      <c r="K32" s="108" t="str">
        <f ca="1"/>
        <v/>
      </c>
      <c r="L32" s="108" t="str">
        <f ca="1"/>
        <v/>
      </c>
      <c r="M32" s="108" t="str">
        <f ca="1"/>
        <v/>
      </c>
      <c r="N32" s="108" t="str">
        <f ca="1"/>
        <v/>
      </c>
      <c r="O32" s="108" t="str">
        <f ca="1"/>
        <v/>
      </c>
      <c r="P32" s="108" t="str">
        <f ca="1"/>
        <v/>
      </c>
      <c r="Q32" s="108" t="str">
        <f ca="1"/>
        <v/>
      </c>
      <c r="R32" s="108" t="str">
        <f ca="1"/>
        <v/>
      </c>
      <c r="S32" s="108" t="str">
        <f ca="1"/>
        <v/>
      </c>
      <c r="T32" s="108" t="str">
        <f ca="1"/>
        <v/>
      </c>
      <c r="U32" s="108" t="str">
        <f ca="1"/>
        <v/>
      </c>
      <c r="V32" s="108" t="str">
        <f ca="1"/>
        <v/>
      </c>
      <c r="W32" s="108" t="str">
        <f ca="1"/>
        <v/>
      </c>
      <c r="X32" s="108" t="str">
        <f ca="1"/>
        <v/>
      </c>
      <c r="Y32" s="108" t="str">
        <f ca="1"/>
        <v/>
      </c>
      <c r="Z32" s="108" t="str">
        <f ca="1"/>
        <v/>
      </c>
      <c r="AA32" s="108" t="str">
        <f ca="1"/>
        <v/>
      </c>
    </row>
    <row r="33" spans="1:27">
      <c r="A33" s="112" t="s">
        <v>106</v>
      </c>
      <c r="B33" s="126" t="b">
        <v>1</v>
      </c>
      <c r="C33" s="108"/>
      <c r="D33" s="108"/>
      <c r="E33" s="108"/>
      <c r="F33" s="112" t="str">
        <f ca="1"/>
        <v>Present Value of Terminal Value of Firm :</v>
      </c>
      <c r="G33" s="120">
        <f ca="1"/>
        <v>226476.68941575408</v>
      </c>
      <c r="H33" s="108" t="str">
        <f ca="1"/>
        <v/>
      </c>
      <c r="I33" s="108" t="str">
        <f ca="1"/>
        <v/>
      </c>
      <c r="J33" s="108" t="str">
        <f ca="1"/>
        <v/>
      </c>
      <c r="K33" s="108" t="str">
        <f ca="1"/>
        <v/>
      </c>
      <c r="L33" s="108" t="str">
        <f ca="1"/>
        <v/>
      </c>
      <c r="M33" s="108" t="str">
        <f ca="1"/>
        <v/>
      </c>
      <c r="N33" s="108" t="str">
        <f ca="1"/>
        <v/>
      </c>
      <c r="O33" s="108" t="str">
        <f ca="1"/>
        <v/>
      </c>
      <c r="P33" s="108" t="str">
        <f ca="1"/>
        <v/>
      </c>
      <c r="Q33" s="108" t="str">
        <f ca="1"/>
        <v/>
      </c>
      <c r="R33" s="108" t="str">
        <f ca="1"/>
        <v/>
      </c>
      <c r="S33" s="108" t="str">
        <f ca="1"/>
        <v/>
      </c>
      <c r="T33" s="108" t="str">
        <f ca="1"/>
        <v/>
      </c>
      <c r="U33" s="108" t="str">
        <f ca="1"/>
        <v/>
      </c>
      <c r="V33" s="108" t="str">
        <f ca="1"/>
        <v/>
      </c>
      <c r="W33" s="108" t="str">
        <f ca="1"/>
        <v/>
      </c>
      <c r="X33" s="108" t="str">
        <f ca="1"/>
        <v/>
      </c>
      <c r="Y33" s="108" t="str">
        <f ca="1"/>
        <v/>
      </c>
      <c r="Z33" s="108" t="str">
        <f ca="1"/>
        <v/>
      </c>
      <c r="AA33" s="108" t="str">
        <f ca="1"/>
        <v/>
      </c>
    </row>
    <row r="34" spans="1:27">
      <c r="A34" s="112" t="s">
        <v>193</v>
      </c>
      <c r="B34" s="117">
        <f>IF($B$3=FALSE,"-",IF(D34=0,C34,D34))</f>
        <v>0.08</v>
      </c>
      <c r="C34" s="118"/>
      <c r="D34" s="134">
        <v>0.08</v>
      </c>
      <c r="E34" s="108"/>
      <c r="F34" s="112" t="str">
        <f ca="1"/>
        <v>Value of the firm :</v>
      </c>
      <c r="G34" s="120">
        <f ca="1"/>
        <v>628415.36501334747</v>
      </c>
      <c r="H34" s="108" t="str">
        <f ca="1"/>
        <v/>
      </c>
      <c r="I34" s="108" t="str">
        <f ca="1"/>
        <v/>
      </c>
      <c r="J34" s="108" t="str">
        <f ca="1"/>
        <v/>
      </c>
      <c r="K34" s="108" t="str">
        <f ca="1"/>
        <v/>
      </c>
      <c r="L34" s="108" t="str">
        <f ca="1"/>
        <v/>
      </c>
      <c r="M34" s="108" t="str">
        <f ca="1"/>
        <v/>
      </c>
      <c r="N34" s="108" t="str">
        <f ca="1"/>
        <v/>
      </c>
      <c r="O34" s="108" t="str">
        <f ca="1"/>
        <v/>
      </c>
      <c r="P34" s="108" t="str">
        <f ca="1"/>
        <v/>
      </c>
      <c r="Q34" s="108" t="str">
        <f ca="1"/>
        <v/>
      </c>
      <c r="R34" s="108" t="str">
        <f ca="1"/>
        <v/>
      </c>
      <c r="S34" s="108" t="str">
        <f ca="1"/>
        <v/>
      </c>
      <c r="T34" s="108" t="str">
        <f ca="1"/>
        <v/>
      </c>
      <c r="U34" s="108" t="str">
        <f ca="1"/>
        <v/>
      </c>
      <c r="V34" s="108" t="str">
        <f ca="1"/>
        <v/>
      </c>
      <c r="W34" s="108" t="str">
        <f ca="1"/>
        <v/>
      </c>
      <c r="X34" s="108" t="str">
        <f ca="1"/>
        <v/>
      </c>
      <c r="Y34" s="108" t="str">
        <f ca="1"/>
        <v/>
      </c>
      <c r="Z34" s="108" t="str">
        <f ca="1"/>
        <v/>
      </c>
      <c r="AA34" s="108" t="str">
        <f ca="1"/>
        <v/>
      </c>
    </row>
    <row r="35" spans="1:27">
      <c r="A35" s="112" t="s">
        <v>194</v>
      </c>
      <c r="B35" s="138">
        <f>IF($B$3=FALSE,"-",IF(D35=0,C35,D35))</f>
        <v>1.1000000000000001</v>
      </c>
      <c r="C35" s="139"/>
      <c r="D35" s="134">
        <v>1.1000000000000001</v>
      </c>
      <c r="E35" s="108"/>
      <c r="F35" s="112" t="str">
        <f ca="1"/>
        <v>Market Value of Debt :</v>
      </c>
      <c r="G35" s="120">
        <f ca="1"/>
        <v>0.1</v>
      </c>
      <c r="H35" s="108" t="str">
        <f ca="1"/>
        <v/>
      </c>
      <c r="I35" s="108" t="str">
        <f ca="1"/>
        <v/>
      </c>
      <c r="J35" s="108" t="str">
        <f ca="1"/>
        <v/>
      </c>
      <c r="K35" s="108" t="str">
        <f ca="1"/>
        <v/>
      </c>
      <c r="L35" s="108" t="str">
        <f ca="1"/>
        <v/>
      </c>
      <c r="M35" s="108" t="str">
        <f ca="1"/>
        <v/>
      </c>
      <c r="N35" s="108" t="str">
        <f ca="1"/>
        <v/>
      </c>
      <c r="O35" s="108" t="str">
        <f ca="1"/>
        <v/>
      </c>
      <c r="P35" s="108" t="str">
        <f ca="1"/>
        <v/>
      </c>
      <c r="Q35" s="108" t="str">
        <f ca="1"/>
        <v/>
      </c>
      <c r="R35" s="108" t="str">
        <f ca="1"/>
        <v/>
      </c>
      <c r="S35" s="108" t="str">
        <f ca="1"/>
        <v/>
      </c>
      <c r="T35" s="108" t="str">
        <f ca="1"/>
        <v/>
      </c>
      <c r="U35" s="108" t="str">
        <f ca="1"/>
        <v/>
      </c>
      <c r="V35" s="108" t="str">
        <f ca="1"/>
        <v/>
      </c>
      <c r="W35" s="108" t="str">
        <f ca="1"/>
        <v/>
      </c>
      <c r="X35" s="108" t="str">
        <f ca="1"/>
        <v/>
      </c>
      <c r="Y35" s="108" t="str">
        <f ca="1"/>
        <v/>
      </c>
      <c r="Z35" s="108" t="str">
        <f ca="1"/>
        <v/>
      </c>
      <c r="AA35" s="108" t="str">
        <f ca="1"/>
        <v/>
      </c>
    </row>
    <row r="36" spans="1:27">
      <c r="A36" s="108"/>
      <c r="B36" s="108"/>
      <c r="C36" s="108"/>
      <c r="D36" s="108"/>
      <c r="E36" s="108"/>
      <c r="F36" s="112" t="str">
        <f ca="1"/>
        <v>Market Value of Equity :</v>
      </c>
      <c r="G36" s="120">
        <f ca="1"/>
        <v>628415.2650133475</v>
      </c>
      <c r="H36" s="108" t="str">
        <f ca="1"/>
        <v/>
      </c>
      <c r="I36" s="108" t="str">
        <f ca="1"/>
        <v/>
      </c>
      <c r="J36" s="108" t="str">
        <f ca="1"/>
        <v/>
      </c>
      <c r="K36" s="108" t="str">
        <f ca="1"/>
        <v/>
      </c>
      <c r="L36" s="108" t="str">
        <f ca="1"/>
        <v/>
      </c>
      <c r="M36" s="108" t="str">
        <f ca="1"/>
        <v/>
      </c>
      <c r="N36" s="108" t="str">
        <f ca="1"/>
        <v/>
      </c>
      <c r="O36" s="108" t="str">
        <f ca="1"/>
        <v/>
      </c>
      <c r="P36" s="108" t="str">
        <f ca="1"/>
        <v/>
      </c>
      <c r="Q36" s="108" t="str">
        <f ca="1"/>
        <v/>
      </c>
      <c r="R36" s="108" t="str">
        <f ca="1"/>
        <v/>
      </c>
      <c r="S36" s="108" t="str">
        <f ca="1"/>
        <v/>
      </c>
      <c r="T36" s="108" t="str">
        <f ca="1"/>
        <v/>
      </c>
      <c r="U36" s="108" t="str">
        <f ca="1"/>
        <v/>
      </c>
      <c r="V36" s="108" t="str">
        <f ca="1"/>
        <v/>
      </c>
      <c r="W36" s="108" t="str">
        <f ca="1"/>
        <v/>
      </c>
      <c r="X36" s="108" t="str">
        <f ca="1"/>
        <v/>
      </c>
      <c r="Y36" s="108" t="str">
        <f ca="1"/>
        <v/>
      </c>
      <c r="Z36" s="108" t="str">
        <f ca="1"/>
        <v/>
      </c>
      <c r="AA36" s="108" t="str">
        <f ca="1"/>
        <v/>
      </c>
    </row>
    <row r="37" spans="1:27">
      <c r="A37" s="112" t="s">
        <v>160</v>
      </c>
      <c r="B37" s="140">
        <f>D37</f>
        <v>20</v>
      </c>
      <c r="C37" s="141"/>
      <c r="D37" s="142">
        <v>20</v>
      </c>
      <c r="E37" s="108"/>
      <c r="F37" s="121" t="str">
        <f ca="1"/>
        <v>Value of Equity per Share :</v>
      </c>
      <c r="G37" s="120">
        <f ca="1"/>
        <v>676.44269646216094</v>
      </c>
      <c r="H37" s="108" t="str">
        <f ca="1"/>
        <v/>
      </c>
      <c r="I37" s="108" t="str">
        <f ca="1"/>
        <v/>
      </c>
      <c r="J37" s="108" t="str">
        <f ca="1"/>
        <v/>
      </c>
      <c r="K37" s="108" t="str">
        <f ca="1"/>
        <v/>
      </c>
      <c r="L37" s="108" t="str">
        <f ca="1"/>
        <v/>
      </c>
      <c r="M37" s="108" t="str">
        <f ca="1"/>
        <v/>
      </c>
      <c r="N37" s="108" t="str">
        <f ca="1"/>
        <v/>
      </c>
      <c r="O37" s="108" t="str">
        <f ca="1"/>
        <v/>
      </c>
      <c r="P37" s="108" t="str">
        <f ca="1"/>
        <v/>
      </c>
      <c r="Q37" s="108" t="str">
        <f ca="1"/>
        <v/>
      </c>
      <c r="R37" s="108" t="str">
        <f ca="1"/>
        <v/>
      </c>
      <c r="S37" s="108" t="str">
        <f ca="1"/>
        <v/>
      </c>
      <c r="T37" s="108" t="str">
        <f ca="1"/>
        <v/>
      </c>
      <c r="U37" s="108" t="str">
        <f ca="1"/>
        <v/>
      </c>
      <c r="V37" s="108" t="str">
        <f ca="1"/>
        <v/>
      </c>
      <c r="W37" s="108" t="str">
        <f ca="1"/>
        <v/>
      </c>
      <c r="X37" s="108" t="str">
        <f ca="1"/>
        <v/>
      </c>
      <c r="Y37" s="108" t="str">
        <f ca="1"/>
        <v/>
      </c>
      <c r="Z37" s="108" t="str">
        <f ca="1"/>
        <v/>
      </c>
      <c r="AA37" s="108" t="str">
        <f ca="1"/>
        <v/>
      </c>
    </row>
    <row r="38" spans="1:27">
      <c r="A38" s="143" t="s">
        <v>166</v>
      </c>
      <c r="B38" s="144">
        <f>IF($B$3=FALSE,"-",IF(D38=0,C38,D38))</f>
        <v>5</v>
      </c>
      <c r="C38" s="145">
        <v>100000</v>
      </c>
      <c r="D38" s="142">
        <v>5</v>
      </c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46"/>
      <c r="T38" s="125"/>
      <c r="U38" s="108"/>
      <c r="V38" s="108"/>
      <c r="W38" s="108"/>
      <c r="X38" s="108"/>
      <c r="Y38" s="108"/>
      <c r="Z38" s="108"/>
      <c r="AA38" s="108"/>
    </row>
    <row r="39" spans="1:27">
      <c r="A39" s="108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</row>
    <row r="40" spans="1:27" ht="54">
      <c r="A40" s="147" t="s">
        <v>195</v>
      </c>
      <c r="B40" s="147" t="s">
        <v>196</v>
      </c>
      <c r="C40" s="147" t="s">
        <v>197</v>
      </c>
      <c r="D40" s="147" t="s">
        <v>198</v>
      </c>
      <c r="E40" s="147" t="s">
        <v>199</v>
      </c>
      <c r="F40" s="103" t="s">
        <v>205</v>
      </c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</row>
    <row r="41" spans="1:27">
      <c r="A41" s="148">
        <v>0.06</v>
      </c>
      <c r="B41" s="149">
        <v>0.8165</v>
      </c>
      <c r="C41" s="149">
        <v>2.3939668853226959E-2</v>
      </c>
      <c r="D41" s="149">
        <v>-6.8331721164417658E-2</v>
      </c>
      <c r="E41" s="148">
        <v>0.05</v>
      </c>
      <c r="F41" s="158">
        <f>B6*(1+A41)</f>
        <v>114743.94</v>
      </c>
      <c r="G41" s="108">
        <f ca="1">G11*1.06</f>
        <v>1791.4490332762111</v>
      </c>
      <c r="H41" s="108">
        <f ca="1">G12*1.06</f>
        <v>8353.0540729841014</v>
      </c>
      <c r="I41" s="108"/>
      <c r="J41" s="156">
        <f ca="1">G16-H8</f>
        <v>62937.216230599995</v>
      </c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</row>
    <row r="42" spans="1:27">
      <c r="A42" s="148">
        <v>0.06</v>
      </c>
      <c r="B42" s="149">
        <f t="shared" ref="B42:B61" si="0">B41</f>
        <v>0.8165</v>
      </c>
      <c r="C42" s="149">
        <f t="shared" ref="C42:C48" si="1">A44</f>
        <v>0.06</v>
      </c>
      <c r="D42" s="149">
        <f t="shared" ref="D42:D49" si="2">A43</f>
        <v>0.06</v>
      </c>
      <c r="E42" s="148">
        <f t="shared" ref="E42:E61" si="3">E41</f>
        <v>0.05</v>
      </c>
      <c r="F42" s="158">
        <f>F41*(1+A42)</f>
        <v>121628.57640000001</v>
      </c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</row>
    <row r="43" spans="1:27">
      <c r="A43" s="148">
        <v>0.06</v>
      </c>
      <c r="B43" s="149">
        <f t="shared" si="0"/>
        <v>0.8165</v>
      </c>
      <c r="C43" s="149">
        <f t="shared" si="1"/>
        <v>0.06</v>
      </c>
      <c r="D43" s="149">
        <f t="shared" si="2"/>
        <v>0.06</v>
      </c>
      <c r="E43" s="148">
        <f t="shared" si="3"/>
        <v>0.05</v>
      </c>
      <c r="F43" s="158">
        <f t="shared" ref="F43:F50" si="4">F42*(1+A43)</f>
        <v>128926.29098400001</v>
      </c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</row>
    <row r="44" spans="1:27">
      <c r="A44" s="148">
        <v>0.06</v>
      </c>
      <c r="B44" s="149">
        <f t="shared" si="0"/>
        <v>0.8165</v>
      </c>
      <c r="C44" s="149">
        <f t="shared" si="1"/>
        <v>0.06</v>
      </c>
      <c r="D44" s="149">
        <f t="shared" si="2"/>
        <v>0.06</v>
      </c>
      <c r="E44" s="148">
        <f t="shared" si="3"/>
        <v>0.05</v>
      </c>
      <c r="F44" s="158">
        <f t="shared" si="4"/>
        <v>136661.86844304</v>
      </c>
      <c r="G44" s="150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</row>
    <row r="45" spans="1:27">
      <c r="A45" s="148">
        <v>0.06</v>
      </c>
      <c r="B45" s="149">
        <f t="shared" si="0"/>
        <v>0.8165</v>
      </c>
      <c r="C45" s="149">
        <f t="shared" si="1"/>
        <v>0.06</v>
      </c>
      <c r="D45" s="149">
        <f t="shared" si="2"/>
        <v>0.06</v>
      </c>
      <c r="E45" s="148">
        <f t="shared" si="3"/>
        <v>0.05</v>
      </c>
      <c r="F45" s="158">
        <f t="shared" si="4"/>
        <v>144861.58054962242</v>
      </c>
      <c r="G45" s="150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</row>
    <row r="46" spans="1:27">
      <c r="A46" s="148">
        <v>0.06</v>
      </c>
      <c r="B46" s="149">
        <f t="shared" si="0"/>
        <v>0.8165</v>
      </c>
      <c r="C46" s="149">
        <f t="shared" si="1"/>
        <v>0.03</v>
      </c>
      <c r="D46" s="149">
        <f t="shared" si="2"/>
        <v>0.06</v>
      </c>
      <c r="E46" s="148">
        <f t="shared" si="3"/>
        <v>0.05</v>
      </c>
      <c r="F46" s="158">
        <f t="shared" si="4"/>
        <v>153553.27538259976</v>
      </c>
      <c r="G46" s="150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</row>
    <row r="47" spans="1:27">
      <c r="A47" s="148">
        <v>0.06</v>
      </c>
      <c r="B47" s="149">
        <f t="shared" si="0"/>
        <v>0.8165</v>
      </c>
      <c r="C47" s="149">
        <f t="shared" si="1"/>
        <v>0.03</v>
      </c>
      <c r="D47" s="149">
        <f t="shared" si="2"/>
        <v>0.03</v>
      </c>
      <c r="E47" s="148">
        <f t="shared" si="3"/>
        <v>0.05</v>
      </c>
      <c r="F47" s="158">
        <f t="shared" si="4"/>
        <v>162766.47190555575</v>
      </c>
      <c r="G47" s="150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</row>
    <row r="48" spans="1:27">
      <c r="A48" s="148">
        <v>0.03</v>
      </c>
      <c r="B48" s="149">
        <f t="shared" si="0"/>
        <v>0.8165</v>
      </c>
      <c r="C48" s="149">
        <f t="shared" si="1"/>
        <v>0.03</v>
      </c>
      <c r="D48" s="149">
        <f t="shared" si="2"/>
        <v>0.03</v>
      </c>
      <c r="E48" s="148">
        <f t="shared" si="3"/>
        <v>0.05</v>
      </c>
      <c r="F48" s="158">
        <f t="shared" si="4"/>
        <v>167649.46606272244</v>
      </c>
      <c r="G48" s="150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</row>
    <row r="49" spans="1:27">
      <c r="A49" s="148">
        <v>0.03</v>
      </c>
      <c r="B49" s="149">
        <f t="shared" si="0"/>
        <v>0.8165</v>
      </c>
      <c r="C49" s="149">
        <f>A50</f>
        <v>0.03</v>
      </c>
      <c r="D49" s="149">
        <f t="shared" si="2"/>
        <v>0.03</v>
      </c>
      <c r="E49" s="148">
        <f t="shared" si="3"/>
        <v>0.05</v>
      </c>
      <c r="F49" s="158">
        <f t="shared" si="4"/>
        <v>172678.95004460411</v>
      </c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</row>
    <row r="50" spans="1:27">
      <c r="A50" s="148">
        <v>0.03</v>
      </c>
      <c r="B50" s="149">
        <f t="shared" si="0"/>
        <v>0.8165</v>
      </c>
      <c r="C50" s="149">
        <f>A50</f>
        <v>0.03</v>
      </c>
      <c r="D50" s="149">
        <f>A50</f>
        <v>0.03</v>
      </c>
      <c r="E50" s="148">
        <f t="shared" si="3"/>
        <v>0.05</v>
      </c>
      <c r="F50" s="158">
        <f t="shared" si="4"/>
        <v>177859.31854594222</v>
      </c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</row>
    <row r="51" spans="1:27">
      <c r="A51" s="148">
        <v>0.03</v>
      </c>
      <c r="B51" s="149">
        <f t="shared" si="0"/>
        <v>0.8165</v>
      </c>
      <c r="C51" s="149">
        <f t="shared" ref="C51:C56" si="5">A51</f>
        <v>0.03</v>
      </c>
      <c r="D51" s="149">
        <f t="shared" ref="D51:D56" si="6">A51</f>
        <v>0.03</v>
      </c>
      <c r="E51" s="148">
        <f t="shared" si="3"/>
        <v>0.05</v>
      </c>
      <c r="F51" s="103"/>
      <c r="G51" s="103"/>
      <c r="H51" s="103"/>
      <c r="I51" s="103"/>
      <c r="J51" s="103"/>
      <c r="K51" s="103"/>
      <c r="L51" s="103"/>
      <c r="M51" s="103"/>
      <c r="N51" s="103"/>
      <c r="O51" s="103"/>
      <c r="P51" s="103"/>
      <c r="Q51" s="103"/>
      <c r="R51" s="103"/>
      <c r="S51" s="103"/>
      <c r="T51" s="103"/>
      <c r="U51" s="103"/>
      <c r="V51" s="103"/>
      <c r="W51" s="103"/>
      <c r="X51" s="103"/>
      <c r="Y51" s="103"/>
      <c r="Z51" s="103"/>
      <c r="AA51" s="104"/>
    </row>
    <row r="52" spans="1:27">
      <c r="A52" s="148">
        <v>0.03</v>
      </c>
      <c r="B52" s="149">
        <f t="shared" si="0"/>
        <v>0.8165</v>
      </c>
      <c r="C52" s="149">
        <f t="shared" si="5"/>
        <v>0.03</v>
      </c>
      <c r="D52" s="149">
        <f t="shared" si="6"/>
        <v>0.03</v>
      </c>
      <c r="E52" s="148">
        <f t="shared" si="3"/>
        <v>0.05</v>
      </c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4"/>
    </row>
    <row r="53" spans="1:27">
      <c r="A53" s="148">
        <v>0.03</v>
      </c>
      <c r="B53" s="149">
        <f t="shared" si="0"/>
        <v>0.8165</v>
      </c>
      <c r="C53" s="149">
        <f t="shared" si="5"/>
        <v>0.03</v>
      </c>
      <c r="D53" s="149">
        <f t="shared" si="6"/>
        <v>0.03</v>
      </c>
      <c r="E53" s="148">
        <f t="shared" si="3"/>
        <v>0.05</v>
      </c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4"/>
    </row>
    <row r="54" spans="1:27">
      <c r="A54" s="148">
        <v>0.03</v>
      </c>
      <c r="B54" s="149">
        <f t="shared" si="0"/>
        <v>0.8165</v>
      </c>
      <c r="C54" s="149">
        <f t="shared" si="5"/>
        <v>0.03</v>
      </c>
      <c r="D54" s="149">
        <f t="shared" si="6"/>
        <v>0.03</v>
      </c>
      <c r="E54" s="148">
        <f t="shared" si="3"/>
        <v>0.05</v>
      </c>
      <c r="F54" s="103"/>
      <c r="G54" s="103"/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03"/>
      <c r="S54" s="103"/>
      <c r="T54" s="103"/>
      <c r="U54" s="103"/>
      <c r="V54" s="103"/>
      <c r="W54" s="103"/>
      <c r="X54" s="103"/>
      <c r="Y54" s="103"/>
      <c r="Z54" s="103"/>
      <c r="AA54" s="104"/>
    </row>
    <row r="55" spans="1:27">
      <c r="A55" s="148">
        <v>0.03</v>
      </c>
      <c r="B55" s="149">
        <f t="shared" si="0"/>
        <v>0.8165</v>
      </c>
      <c r="C55" s="149">
        <f t="shared" si="5"/>
        <v>0.03</v>
      </c>
      <c r="D55" s="149">
        <f t="shared" si="6"/>
        <v>0.03</v>
      </c>
      <c r="E55" s="148">
        <f t="shared" si="3"/>
        <v>0.05</v>
      </c>
    </row>
    <row r="56" spans="1:27">
      <c r="A56" s="148">
        <v>0.03</v>
      </c>
      <c r="B56" s="149">
        <f t="shared" si="0"/>
        <v>0.8165</v>
      </c>
      <c r="C56" s="149">
        <f t="shared" si="5"/>
        <v>0.03</v>
      </c>
      <c r="D56" s="149">
        <f t="shared" si="6"/>
        <v>0.03</v>
      </c>
      <c r="E56" s="148">
        <f t="shared" si="3"/>
        <v>0.05</v>
      </c>
    </row>
    <row r="57" spans="1:27">
      <c r="A57" s="148">
        <v>0.03</v>
      </c>
      <c r="B57" s="149">
        <f t="shared" si="0"/>
        <v>0.8165</v>
      </c>
      <c r="C57" s="149">
        <f>A57</f>
        <v>0.03</v>
      </c>
      <c r="D57" s="149">
        <f>A57</f>
        <v>0.03</v>
      </c>
      <c r="E57" s="148">
        <f t="shared" si="3"/>
        <v>0.05</v>
      </c>
    </row>
    <row r="58" spans="1:27">
      <c r="A58" s="148">
        <v>0.03</v>
      </c>
      <c r="B58" s="149">
        <f t="shared" si="0"/>
        <v>0.8165</v>
      </c>
      <c r="C58" s="149">
        <f t="shared" ref="C58:C61" si="7">A58</f>
        <v>0.03</v>
      </c>
      <c r="D58" s="149">
        <f t="shared" ref="D58:D61" si="8">A58</f>
        <v>0.03</v>
      </c>
      <c r="E58" s="148">
        <f t="shared" si="3"/>
        <v>0.05</v>
      </c>
    </row>
    <row r="59" spans="1:27">
      <c r="A59" s="148">
        <v>0.03</v>
      </c>
      <c r="B59" s="149">
        <f t="shared" si="0"/>
        <v>0.8165</v>
      </c>
      <c r="C59" s="149">
        <f t="shared" si="7"/>
        <v>0.03</v>
      </c>
      <c r="D59" s="149">
        <f t="shared" si="8"/>
        <v>0.03</v>
      </c>
      <c r="E59" s="148">
        <f t="shared" si="3"/>
        <v>0.05</v>
      </c>
    </row>
    <row r="60" spans="1:27">
      <c r="A60" s="148">
        <v>0.03</v>
      </c>
      <c r="B60" s="149">
        <f t="shared" si="0"/>
        <v>0.8165</v>
      </c>
      <c r="C60" s="149">
        <f t="shared" si="7"/>
        <v>0.03</v>
      </c>
      <c r="D60" s="149">
        <f t="shared" si="8"/>
        <v>0.03</v>
      </c>
      <c r="E60" s="148">
        <f t="shared" si="3"/>
        <v>0.05</v>
      </c>
    </row>
    <row r="61" spans="1:27">
      <c r="A61" s="148">
        <v>0.03</v>
      </c>
      <c r="B61" s="149">
        <f t="shared" si="0"/>
        <v>0.8165</v>
      </c>
      <c r="C61" s="149">
        <f t="shared" si="7"/>
        <v>0.03</v>
      </c>
      <c r="D61" s="149">
        <f t="shared" si="8"/>
        <v>0.03</v>
      </c>
      <c r="E61" s="148">
        <f t="shared" si="3"/>
        <v>0.05</v>
      </c>
    </row>
    <row r="1788" spans="3:3">
      <c r="C1788" t="b">
        <v>0</v>
      </c>
    </row>
  </sheetData>
  <dataValidations disablePrompts="1" count="2">
    <dataValidation type="list" allowBlank="1" showInputMessage="1" showErrorMessage="1" sqref="B15 B33">
      <formula1>"TRUE, FALSE"</formula1>
    </dataValidation>
    <dataValidation type="list" allowBlank="1" showInputMessage="1" showErrorMessage="1" sqref="B3">
      <formula1>"TRUE,FALSE"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DCF_multi</vt:lpstr>
      <vt:lpstr>INPUT_SHEET</vt:lpstr>
      <vt:lpstr>Final Output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Grace Mok</dc:creator>
  <cp:lastModifiedBy>Kev Kim</cp:lastModifiedBy>
  <dcterms:created xsi:type="dcterms:W3CDTF">2013-11-11T09:27:54Z</dcterms:created>
  <dcterms:modified xsi:type="dcterms:W3CDTF">2015-08-27T04:11:38Z</dcterms:modified>
</cp:coreProperties>
</file>